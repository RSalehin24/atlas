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<sst xmlns="http://schemas.openxmlformats.org/spreadsheetml/2006/main" count="26" uniqueCount="26">
  <si>
    <t>Expenses</t>
  </si>
  <si>
    <t>Amount</t>
  </si>
  <si>
    <t>NPSB Charge</t>
  </si>
  <si>
    <t>total earning</t>
  </si>
  <si>
    <t>Food</t>
  </si>
  <si>
    <t>opening city</t>
  </si>
  <si>
    <t>Office</t>
  </si>
  <si>
    <t>opening dutch</t>
  </si>
  <si>
    <t>FoodPanda</t>
  </si>
  <si>
    <t>Eid Festival</t>
  </si>
  <si>
    <t>total opening</t>
  </si>
  <si>
    <t>total spent</t>
  </si>
  <si>
    <t>Special Expenses</t>
  </si>
  <si>
    <t>remaining</t>
  </si>
  <si>
    <t>Sent to Home</t>
  </si>
  <si>
    <t>Phone Purchase</t>
  </si>
  <si>
    <t>Accomodation expenses</t>
  </si>
  <si>
    <t>Buya, Wifi, Electricity</t>
  </si>
  <si>
    <t>Rent</t>
  </si>
  <si>
    <t>House Support</t>
  </si>
  <si>
    <t>Phone &amp; Wifi</t>
  </si>
  <si>
    <t>Mobile Recharge</t>
  </si>
  <si>
    <t>Wifi</t>
  </si>
  <si>
    <t>Elecrtricity</t>
  </si>
  <si>
    <t>Dhaka Electricity Bill</t>
  </si>
  <si>
    <t>Home Electricity Bill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</si>
</sst>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1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horizontal="right" readingOrder="0" vertical="center"/>
    </xf>
    <xf borderId="0" fillId="0" fontId="1" numFmtId="0" xfId="0" applyAlignment="1" applyFont="1">
      <alignment readingOrder="0" vertical="center"/>
    </xf>
    <xf borderId="3" fillId="3" fontId="1" numFmtId="0" xfId="0" applyAlignment="1" applyBorder="1" applyFill="1" applyFont="1">
      <alignment shrinkToFit="0" vertical="center" wrapText="1"/>
    </xf>
    <xf borderId="4" fillId="3" fontId="1" numFmtId="0" xfId="0" applyAlignment="1" applyBorder="1" applyFont="1">
      <alignment horizontal="right" vertical="center"/>
    </xf>
    <xf borderId="0" fillId="0" fontId="2" numFmtId="0" xfId="0" applyAlignment="1" applyFont="1">
      <alignment vertical="center"/>
    </xf>
    <xf borderId="0" fillId="4" fontId="2" numFmtId="0" xfId="0" applyAlignment="1" applyFill="1" applyFont="1">
      <alignment vertical="center"/>
    </xf>
    <xf borderId="0" fillId="4" fontId="2" numFmtId="0" xfId="0" applyAlignment="1" applyFont="1">
      <alignment horizontal="right" vertical="center"/>
    </xf>
    <xf borderId="1" fillId="2" fontId="1" numFmtId="0" xfId="0" applyAlignment="1" applyBorder="1" applyFont="1">
      <alignment readingOrder="0" vertical="center"/>
    </xf>
    <xf borderId="2" fillId="2" fontId="1" numFmtId="0" xfId="0" applyAlignment="1" applyBorder="1" applyFont="1">
      <alignment readingOrder="0" vertical="center"/>
    </xf>
    <xf borderId="0" fillId="0" fontId="2" numFmtId="0" xfId="0" applyAlignment="1" applyFont="1">
      <alignment readingOrder="0" vertical="center"/>
    </xf>
    <xf borderId="1" fillId="2" fontId="1" numFmtId="0" xfId="0" applyAlignment="1" applyBorder="1" applyFont="1">
      <alignment readingOrder="0" shrinkToFit="0" vertical="center" wrapText="1"/>
    </xf>
    <xf borderId="2" fillId="2" fontId="2" numFmtId="3" xfId="0" applyAlignment="1" applyBorder="1" applyFont="1" applyNumberFormat="1">
      <alignment readingOrder="0" vertical="center"/>
    </xf>
    <xf borderId="5" fillId="0" fontId="1" numFmtId="0" xfId="0" applyAlignment="1" applyBorder="1" applyFont="1">
      <alignment readingOrder="0"/>
    </xf>
    <xf borderId="6" fillId="4" fontId="2" numFmtId="0" xfId="0" applyAlignment="1" applyBorder="1" applyFont="1">
      <alignment vertical="center"/>
    </xf>
    <xf borderId="0" fillId="0" fontId="2" numFmtId="0" xfId="0" applyAlignment="1" applyFont="1">
      <alignment horizontal="right" readingOrder="0" vertical="center"/>
    </xf>
    <xf borderId="5" fillId="0" fontId="1" numFmtId="0" xfId="0" applyAlignment="1" applyBorder="1" applyFont="1">
      <alignment readingOrder="0" shrinkToFit="0" vertical="center" wrapText="1"/>
    </xf>
    <xf borderId="6" fillId="0" fontId="2" numFmtId="3" xfId="0" applyAlignment="1" applyBorder="1" applyFont="1" applyNumberFormat="1">
      <alignment readingOrder="0" vertical="center"/>
    </xf>
    <xf borderId="3" fillId="0" fontId="2" numFmtId="3" xfId="0" applyAlignment="1" applyBorder="1" applyFont="1" applyNumberFormat="1">
      <alignment readingOrder="0" vertical="center"/>
    </xf>
    <xf borderId="4" fillId="0" fontId="2" numFmtId="0" xfId="0" applyAlignment="1" applyBorder="1" applyFont="1">
      <alignment readingOrder="0" vertical="center"/>
    </xf>
    <xf borderId="0" fillId="0" fontId="2" numFmtId="0" xfId="0" applyAlignment="1" applyFont="1">
      <alignment horizontal="right" vertical="center"/>
    </xf>
    <xf borderId="6" fillId="0" fontId="2" numFmtId="4" xfId="0" applyAlignment="1" applyBorder="1" applyFont="1" applyNumberFormat="1">
      <alignment readingOrder="0" vertical="center"/>
    </xf>
    <xf borderId="3" fillId="5" fontId="1" numFmtId="0" xfId="0" applyAlignment="1" applyBorder="1" applyFill="1" applyFont="1">
      <alignment shrinkToFit="0" vertical="center" wrapText="1"/>
    </xf>
    <xf borderId="4" fillId="5" fontId="2" numFmtId="4" xfId="0" applyAlignment="1" applyBorder="1" applyFont="1" applyNumberFormat="1">
      <alignment readingOrder="0" vertical="center"/>
    </xf>
    <xf borderId="0" fillId="0" fontId="1" numFmtId="0" xfId="0" applyAlignment="1" applyFont="1">
      <alignment shrinkToFit="0" vertical="center" wrapText="1"/>
    </xf>
    <xf borderId="7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horizontal="right" readingOrder="0" vertical="center"/>
    </xf>
    <xf borderId="1" fillId="2" fontId="1" numFmtId="0" xfId="0" applyAlignment="1" applyBorder="1" applyFont="1">
      <alignment readingOrder="0"/>
    </xf>
    <xf borderId="2" fillId="2" fontId="1" numFmtId="0" xfId="0" applyBorder="1" applyFont="1"/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right" vertical="center"/>
    </xf>
    <xf borderId="5" fillId="6" fontId="2" numFmtId="0" xfId="0" applyAlignment="1" applyBorder="1" applyFill="1" applyFont="1">
      <alignment readingOrder="0" vertical="center"/>
    </xf>
    <xf borderId="6" fillId="6" fontId="2" numFmtId="0" xfId="0" applyAlignment="1" applyBorder="1" applyFont="1">
      <alignment vertical="center"/>
    </xf>
    <xf borderId="2" fillId="2" fontId="1" numFmtId="0" xfId="0" applyAlignment="1" applyBorder="1" applyFont="1">
      <alignment horizontal="right" vertical="center"/>
    </xf>
    <xf borderId="3" fillId="2" fontId="1" numFmtId="0" xfId="0" applyAlignment="1" applyBorder="1" applyFont="1">
      <alignment readingOrder="0" vertical="center"/>
    </xf>
    <xf borderId="4" fillId="2" fontId="2" numFmtId="0" xfId="0" applyAlignment="1" applyBorder="1" applyFont="1">
      <alignment readingOrder="0" vertical="center"/>
    </xf>
    <xf borderId="6" fillId="0" fontId="1" numFmtId="0" xfId="0" applyAlignment="1" applyBorder="1" applyFont="1">
      <alignment horizontal="right" readingOrder="0" vertical="center"/>
    </xf>
    <xf borderId="6" fillId="0" fontId="1" numFmtId="3" xfId="0" applyAlignment="1" applyBorder="1" applyFont="1" applyNumberFormat="1">
      <alignment horizontal="right" readingOrder="0" vertical="center"/>
    </xf>
    <xf borderId="3" fillId="5" fontId="1" numFmtId="0" xfId="0" applyBorder="1" applyFont="1"/>
    <xf borderId="4" fillId="5" fontId="1" numFmtId="0" xfId="0" applyBorder="1" applyFont="1"/>
    <xf borderId="6" fillId="0" fontId="1" numFmtId="0" xfId="0" applyAlignment="1" applyBorder="1" applyFont="1">
      <alignment horizontal="right" vertical="center"/>
    </xf>
    <xf borderId="0" fillId="0" fontId="1" numFmtId="0" xfId="0" applyAlignment="1" applyFont="1">
      <alignment readingOrder="0" shrinkToFit="0" vertical="center" wrapText="1"/>
    </xf>
    <xf borderId="0" fillId="0" fontId="1" numFmtId="3" xfId="0" applyAlignment="1" applyFont="1" applyNumberFormat="1">
      <alignment horizontal="right" readingOrder="0" vertical="center"/>
    </xf>
    <xf borderId="2" fillId="2" fontId="1" numFmtId="3" xfId="0" applyAlignment="1" applyBorder="1" applyFont="1" applyNumberFormat="1">
      <alignment horizontal="right" readingOrder="0" vertical="center"/>
    </xf>
    <xf borderId="3" fillId="3" fontId="1" numFmtId="0" xfId="0" applyAlignment="1" applyBorder="1" applyFont="1">
      <alignment readingOrder="0" shrinkToFit="0" vertical="center" wrapText="1"/>
    </xf>
    <xf borderId="4" fillId="3" fontId="1" numFmtId="3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>
        <v>360.0</v>
      </c>
      <c r="C2" s="3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/>
      <c r="B4" s="8"/>
      <c r="C4" s="3"/>
      <c r="D4" s="9"/>
      <c r="E4" s="10"/>
      <c r="F4" s="11"/>
      <c r="G4" s="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C5" s="3"/>
      <c r="D5" s="12" t="s">
        <v>3</v>
      </c>
      <c r="E5" s="13">
        <v>708986.0</v>
      </c>
      <c r="F5" s="10"/>
      <c r="G5" s="14">
        <v>638756.0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5" t="s">
        <v>4</v>
      </c>
      <c r="B6" s="16"/>
      <c r="C6" s="3"/>
      <c r="D6" s="17" t="s">
        <v>5</v>
      </c>
      <c r="E6" s="18">
        <f>437+7513</f>
        <v>7950</v>
      </c>
      <c r="F6" s="10"/>
      <c r="G6" s="19">
        <f>E13</f>
        <v>78180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0" t="s">
        <v>6</v>
      </c>
      <c r="B7" s="21">
        <v>20923.0</v>
      </c>
      <c r="C7" s="3"/>
      <c r="D7" s="22" t="s">
        <v>7</v>
      </c>
      <c r="E7" s="23">
        <v>0.0</v>
      </c>
      <c r="F7" s="10"/>
      <c r="G7" s="24">
        <f>SUM(G5,G6)</f>
        <v>716936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0" t="s">
        <v>8</v>
      </c>
      <c r="B8" s="25">
        <v>31845.0</v>
      </c>
      <c r="C8" s="3"/>
      <c r="F8" s="10"/>
      <c r="G8" s="1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6"/>
      <c r="B9" s="27">
        <f>SUM(B7:B8)</f>
        <v>52768</v>
      </c>
      <c r="C9" s="3"/>
      <c r="F9" s="10"/>
      <c r="G9" s="1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8"/>
      <c r="C10" s="3"/>
      <c r="F10" s="10"/>
      <c r="G10" s="10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9" t="s">
        <v>9</v>
      </c>
      <c r="B11" s="30">
        <v>35000.0</v>
      </c>
      <c r="C11" s="3"/>
      <c r="D11" s="31" t="s">
        <v>10</v>
      </c>
      <c r="E11" s="32">
        <f>SUM(E5, E6, E7)</f>
        <v>716936</v>
      </c>
      <c r="F11" s="33"/>
      <c r="G11" s="10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8"/>
      <c r="B12" s="34"/>
      <c r="C12" s="3"/>
      <c r="D12" s="35" t="s">
        <v>11</v>
      </c>
      <c r="E12" s="36">
        <f>E11-E13-290150-G16</f>
        <v>231756</v>
      </c>
      <c r="F12" s="9"/>
      <c r="G12" s="10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5" t="s">
        <v>12</v>
      </c>
      <c r="B13" s="37"/>
      <c r="C13" s="3"/>
      <c r="D13" s="38" t="s">
        <v>13</v>
      </c>
      <c r="E13" s="39">
        <f> 78141+39</f>
        <v>78180</v>
      </c>
      <c r="F13" s="3"/>
      <c r="G13" s="6">
        <f>146800+7950</f>
        <v>154750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0" t="s">
        <v>14</v>
      </c>
      <c r="B14" s="40">
        <f>100500+10000+5000+20000+15000</f>
        <v>150500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0" t="s">
        <v>15</v>
      </c>
      <c r="B15" s="41">
        <v>81500.0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2"/>
      <c r="B16" s="43">
        <f>SUM(B14:B15)</f>
        <v>232000</v>
      </c>
      <c r="C16" s="3"/>
      <c r="D16" s="3"/>
      <c r="E16" s="3"/>
      <c r="F16" s="6">
        <v>256620.0</v>
      </c>
      <c r="G16" s="3">
        <f>81500+27000+8350</f>
        <v>116850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8"/>
      <c r="B17" s="34"/>
      <c r="C17" s="3"/>
      <c r="D17" s="3"/>
      <c r="E17" s="3"/>
      <c r="F17" s="3"/>
      <c r="G17" s="3">
        <f>F16-G16+E6</f>
        <v>147720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5" t="s">
        <v>16</v>
      </c>
      <c r="B18" s="37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0" t="s">
        <v>17</v>
      </c>
      <c r="B19" s="40">
        <v>15150.0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0" t="s">
        <v>18</v>
      </c>
      <c r="B20" s="44">
        <f>6500*12</f>
        <v>78000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/>
      <c r="B21" s="8">
        <f>SUM(B19:B20)</f>
        <v>93150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8"/>
      <c r="B22" s="3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5" t="s">
        <v>19</v>
      </c>
      <c r="B23" s="34">
        <f>600*4+400*8</f>
        <v>5600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5"/>
      <c r="B24" s="4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5" t="s">
        <v>20</v>
      </c>
      <c r="B25" s="47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0" t="s">
        <v>21</v>
      </c>
      <c r="B26" s="41">
        <v>1952.0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0" t="s">
        <v>22</v>
      </c>
      <c r="B27" s="44">
        <f>400*4+267*8</f>
        <v>3736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8"/>
      <c r="B28" s="49">
        <f>SUM(B26:B27)</f>
        <v>5688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1" t="s">
        <v>23</v>
      </c>
      <c r="B30" s="3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0" t="s">
        <v>24</v>
      </c>
      <c r="B31" s="44">
        <f>B19-B23-B27</f>
        <v>5814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0" t="s">
        <v>25</v>
      </c>
      <c r="B32" s="40">
        <v>3734.0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7"/>
      <c r="B33" s="8">
        <f>SUM(B31:B32)</f>
        <v>9548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8"/>
      <c r="B34" s="3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8"/>
      <c r="B35" s="3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8"/>
      <c r="B36" s="3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8"/>
      <c r="B37" s="3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8"/>
      <c r="B38" s="3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8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8"/>
      <c r="B40" s="3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8"/>
      <c r="B41" s="3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8"/>
      <c r="B42" s="3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8"/>
      <c r="B43" s="3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8"/>
      <c r="B44" s="3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8"/>
      <c r="B45" s="3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8"/>
      <c r="B46" s="3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8"/>
      <c r="B47" s="3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8"/>
      <c r="B48" s="3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8"/>
      <c r="B49" s="3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8"/>
      <c r="B50" s="3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8"/>
      <c r="B51" s="3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8"/>
      <c r="B52" s="3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8"/>
      <c r="B53" s="3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8"/>
      <c r="B54" s="3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8"/>
      <c r="B55" s="3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8"/>
      <c r="B56" s="3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8"/>
      <c r="B57" s="3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8"/>
      <c r="B58" s="3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8"/>
      <c r="B59" s="3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8"/>
      <c r="B60" s="3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8"/>
      <c r="B61" s="3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8"/>
      <c r="B62" s="3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8"/>
      <c r="B63" s="3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8"/>
      <c r="B64" s="3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8"/>
      <c r="B65" s="3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8"/>
      <c r="B66" s="3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8"/>
      <c r="B67" s="3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8"/>
      <c r="B68" s="3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8"/>
      <c r="B69" s="3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8"/>
      <c r="B70" s="3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8"/>
      <c r="B71" s="3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8"/>
      <c r="B72" s="3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8"/>
      <c r="B73" s="3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8"/>
      <c r="B74" s="3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8"/>
      <c r="B75" s="3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8"/>
      <c r="B76" s="3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8"/>
      <c r="B77" s="3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8"/>
      <c r="B78" s="3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8"/>
      <c r="B79" s="3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8"/>
      <c r="B80" s="3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8"/>
      <c r="B81" s="3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8"/>
      <c r="B82" s="3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8"/>
      <c r="B83" s="3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8"/>
      <c r="B84" s="3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8"/>
      <c r="B85" s="3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8"/>
      <c r="B86" s="3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8"/>
      <c r="B87" s="3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8"/>
      <c r="B88" s="3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8"/>
      <c r="B89" s="3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8"/>
      <c r="B90" s="3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8"/>
      <c r="B91" s="3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8"/>
      <c r="B92" s="3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8"/>
      <c r="B93" s="3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8"/>
      <c r="B94" s="3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8"/>
      <c r="B95" s="3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8"/>
      <c r="B96" s="3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8"/>
      <c r="B97" s="3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8"/>
      <c r="B98" s="3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8"/>
      <c r="B99" s="3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8"/>
      <c r="B100" s="3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8"/>
      <c r="B101" s="3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8"/>
      <c r="B102" s="3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8"/>
      <c r="B103" s="3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8"/>
      <c r="B104" s="3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8"/>
      <c r="B105" s="3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8"/>
      <c r="B106" s="3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8"/>
      <c r="B107" s="3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8"/>
      <c r="B108" s="3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8"/>
      <c r="B109" s="3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8"/>
      <c r="B110" s="3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8"/>
      <c r="B111" s="3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8"/>
      <c r="B112" s="3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8"/>
      <c r="B113" s="3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8"/>
      <c r="B114" s="3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8"/>
      <c r="B115" s="3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8"/>
      <c r="B116" s="3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8"/>
      <c r="B117" s="3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8"/>
      <c r="B118" s="3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8"/>
      <c r="B119" s="3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8"/>
      <c r="B120" s="3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8"/>
      <c r="B121" s="3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8"/>
      <c r="B122" s="3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8"/>
      <c r="B123" s="3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8"/>
      <c r="B124" s="3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8"/>
      <c r="B125" s="3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8"/>
      <c r="B126" s="3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8"/>
      <c r="B127" s="3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8"/>
      <c r="B128" s="3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8"/>
      <c r="B129" s="3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8"/>
      <c r="B130" s="3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8"/>
      <c r="B131" s="3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8"/>
      <c r="B132" s="3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8"/>
      <c r="B133" s="3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8"/>
      <c r="B134" s="3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8"/>
      <c r="B135" s="3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8"/>
      <c r="B136" s="3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8"/>
      <c r="B137" s="3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8"/>
      <c r="B138" s="3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8"/>
      <c r="B139" s="3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8"/>
      <c r="B140" s="3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8"/>
      <c r="B141" s="3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8"/>
      <c r="B142" s="3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8"/>
      <c r="B143" s="3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8"/>
      <c r="B144" s="3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8"/>
      <c r="B145" s="3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8"/>
      <c r="B146" s="3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8"/>
      <c r="B147" s="3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8"/>
      <c r="B148" s="3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8"/>
      <c r="B149" s="3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8"/>
      <c r="B150" s="3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8"/>
      <c r="B151" s="3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8"/>
      <c r="B152" s="3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8"/>
      <c r="B153" s="3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8"/>
      <c r="B154" s="3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8"/>
      <c r="B155" s="3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8"/>
      <c r="B156" s="3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8"/>
      <c r="B157" s="3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8"/>
      <c r="B158" s="3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8"/>
      <c r="B159" s="3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8"/>
      <c r="B160" s="3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8"/>
      <c r="B161" s="3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8"/>
      <c r="B162" s="3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8"/>
      <c r="B163" s="3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8"/>
      <c r="B164" s="3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8"/>
      <c r="B165" s="3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8"/>
      <c r="B166" s="3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8"/>
      <c r="B167" s="3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8"/>
      <c r="B168" s="3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8"/>
      <c r="B169" s="3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8"/>
      <c r="B170" s="3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8"/>
      <c r="B171" s="3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8"/>
      <c r="B172" s="3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8"/>
      <c r="B173" s="3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8"/>
      <c r="B174" s="3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8"/>
      <c r="B175" s="3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8"/>
      <c r="B176" s="3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8"/>
      <c r="B177" s="3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8"/>
      <c r="B178" s="3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8"/>
      <c r="B179" s="3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8"/>
      <c r="B180" s="3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8"/>
      <c r="B181" s="3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8"/>
      <c r="B182" s="3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8"/>
      <c r="B183" s="3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8"/>
      <c r="B184" s="3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8"/>
      <c r="B185" s="3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8"/>
      <c r="B186" s="3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8"/>
      <c r="B187" s="3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8"/>
      <c r="B188" s="3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8"/>
      <c r="B189" s="3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8"/>
      <c r="B190" s="3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8"/>
      <c r="B191" s="3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8"/>
      <c r="B192" s="3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8"/>
      <c r="B193" s="3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8"/>
      <c r="B194" s="3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8"/>
      <c r="B195" s="3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8"/>
      <c r="B196" s="3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8"/>
      <c r="B197" s="3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8"/>
      <c r="B198" s="3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8"/>
      <c r="B199" s="3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8"/>
      <c r="B200" s="3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8"/>
      <c r="B201" s="3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8"/>
      <c r="B202" s="3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8"/>
      <c r="B203" s="3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8"/>
      <c r="B204" s="3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8"/>
      <c r="B205" s="3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8"/>
      <c r="B206" s="3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8"/>
      <c r="B207" s="3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8"/>
      <c r="B208" s="3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8"/>
      <c r="B209" s="3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8"/>
      <c r="B210" s="3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8"/>
      <c r="B211" s="3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8"/>
      <c r="B212" s="3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8"/>
      <c r="B213" s="3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8"/>
      <c r="B214" s="3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8"/>
      <c r="B215" s="3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8"/>
      <c r="B216" s="3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8"/>
      <c r="B217" s="3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8"/>
      <c r="B218" s="3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8"/>
      <c r="B219" s="3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8"/>
      <c r="B220" s="3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8"/>
      <c r="B221" s="3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8"/>
      <c r="B222" s="3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8"/>
      <c r="B223" s="3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8"/>
      <c r="B224" s="3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8"/>
      <c r="B225" s="3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8"/>
      <c r="B226" s="3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8"/>
      <c r="B227" s="3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8"/>
      <c r="B228" s="3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8"/>
      <c r="B229" s="3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8"/>
      <c r="B230" s="3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8"/>
      <c r="B231" s="3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8"/>
      <c r="B232" s="3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8"/>
      <c r="B233" s="3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8"/>
      <c r="B234" s="3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8"/>
      <c r="B235" s="3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8"/>
      <c r="B236" s="3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8"/>
      <c r="B237" s="3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8"/>
      <c r="B238" s="3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8"/>
      <c r="B239" s="3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8"/>
      <c r="B240" s="3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8"/>
      <c r="B241" s="3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8"/>
      <c r="B242" s="3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8"/>
      <c r="B243" s="3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8"/>
      <c r="B244" s="3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8"/>
      <c r="B245" s="3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8"/>
      <c r="B246" s="3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8"/>
      <c r="B247" s="3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8"/>
      <c r="B248" s="3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8"/>
      <c r="B249" s="3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8"/>
      <c r="B250" s="3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8"/>
      <c r="B251" s="3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8"/>
      <c r="B252" s="3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8"/>
      <c r="B253" s="3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8"/>
      <c r="B254" s="3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8"/>
      <c r="B255" s="3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8"/>
      <c r="B256" s="3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8"/>
      <c r="B257" s="3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8"/>
      <c r="B258" s="3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8"/>
      <c r="B259" s="3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8"/>
      <c r="B260" s="3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8"/>
      <c r="B261" s="3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8"/>
      <c r="B262" s="3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8"/>
      <c r="B263" s="3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8"/>
      <c r="B264" s="3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8"/>
      <c r="B265" s="3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8"/>
      <c r="B266" s="3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8"/>
      <c r="B267" s="3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8"/>
      <c r="B268" s="3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8"/>
      <c r="B269" s="3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8"/>
      <c r="B270" s="3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8"/>
      <c r="B271" s="3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8"/>
      <c r="B272" s="3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8"/>
      <c r="B273" s="3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8"/>
      <c r="B274" s="3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8"/>
      <c r="B275" s="3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8"/>
      <c r="B276" s="3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8"/>
      <c r="B277" s="3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8"/>
      <c r="B278" s="3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8"/>
      <c r="B279" s="3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8"/>
      <c r="B280" s="3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8"/>
      <c r="B281" s="3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8"/>
      <c r="B282" s="3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8"/>
      <c r="B283" s="3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8"/>
      <c r="B284" s="3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8"/>
      <c r="B285" s="3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8"/>
      <c r="B286" s="3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8"/>
      <c r="B287" s="3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8"/>
      <c r="B288" s="3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8"/>
      <c r="B289" s="3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8"/>
      <c r="B290" s="3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8"/>
      <c r="B291" s="3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8"/>
      <c r="B292" s="3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8"/>
      <c r="B293" s="3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8"/>
      <c r="B294" s="3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8"/>
      <c r="B295" s="3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8"/>
      <c r="B296" s="3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8"/>
      <c r="B297" s="3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8"/>
      <c r="B298" s="3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8"/>
      <c r="B299" s="3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8"/>
      <c r="B300" s="3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8"/>
      <c r="B301" s="3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8"/>
      <c r="B302" s="3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8"/>
      <c r="B303" s="3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8"/>
      <c r="B304" s="3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8"/>
      <c r="B305" s="3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8"/>
      <c r="B306" s="3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8"/>
      <c r="B307" s="3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8"/>
      <c r="B308" s="3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8"/>
      <c r="B309" s="3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8"/>
      <c r="B310" s="3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8"/>
      <c r="B311" s="3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8"/>
      <c r="B312" s="3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8"/>
      <c r="B313" s="3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8"/>
      <c r="B314" s="3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8"/>
      <c r="B315" s="3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8"/>
      <c r="B316" s="3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8"/>
      <c r="B317" s="3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8"/>
      <c r="B318" s="3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8"/>
      <c r="B319" s="3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8"/>
      <c r="B320" s="3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8"/>
      <c r="B321" s="3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8"/>
      <c r="B322" s="3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8"/>
      <c r="B323" s="3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8"/>
      <c r="B324" s="3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8"/>
      <c r="B325" s="3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8"/>
      <c r="B326" s="3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8"/>
      <c r="B327" s="3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8"/>
      <c r="B328" s="3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8"/>
      <c r="B329" s="3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8"/>
      <c r="B330" s="3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8"/>
      <c r="B331" s="3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8"/>
      <c r="B332" s="3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8"/>
      <c r="B333" s="3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8"/>
      <c r="B334" s="3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8"/>
      <c r="B335" s="3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8"/>
      <c r="B336" s="3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8"/>
      <c r="B337" s="3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8"/>
      <c r="B338" s="3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8"/>
      <c r="B339" s="3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8"/>
      <c r="B340" s="3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8"/>
      <c r="B341" s="3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8"/>
      <c r="B342" s="3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8"/>
      <c r="B343" s="3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8"/>
      <c r="B344" s="3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8"/>
      <c r="B345" s="3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8"/>
      <c r="B346" s="3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8"/>
      <c r="B347" s="3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8"/>
      <c r="B348" s="3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8"/>
      <c r="B349" s="3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8"/>
      <c r="B350" s="3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8"/>
      <c r="B351" s="3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8"/>
      <c r="B352" s="3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8"/>
      <c r="B353" s="3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8"/>
      <c r="B354" s="3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8"/>
      <c r="B355" s="3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8"/>
      <c r="B356" s="3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8"/>
      <c r="B357" s="3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8"/>
      <c r="B358" s="3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8"/>
      <c r="B359" s="3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8"/>
      <c r="B360" s="3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8"/>
      <c r="B361" s="3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8"/>
      <c r="B362" s="3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8"/>
      <c r="B363" s="3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8"/>
      <c r="B364" s="3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8"/>
      <c r="B365" s="3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8"/>
      <c r="B366" s="3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8"/>
      <c r="B367" s="3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8"/>
      <c r="B368" s="3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8"/>
      <c r="B369" s="3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8"/>
      <c r="B370" s="3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8"/>
      <c r="B371" s="3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8"/>
      <c r="B372" s="3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8"/>
      <c r="B373" s="3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8"/>
      <c r="B374" s="3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8"/>
      <c r="B375" s="3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8"/>
      <c r="B376" s="3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8"/>
      <c r="B377" s="3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8"/>
      <c r="B378" s="3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8"/>
      <c r="B379" s="3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8"/>
      <c r="B380" s="3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8"/>
      <c r="B381" s="3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8"/>
      <c r="B382" s="3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8"/>
      <c r="B383" s="3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8"/>
      <c r="B384" s="3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8"/>
      <c r="B385" s="3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8"/>
      <c r="B386" s="3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8"/>
      <c r="B387" s="3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8"/>
      <c r="B388" s="3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8"/>
      <c r="B389" s="3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8"/>
      <c r="B390" s="3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8"/>
      <c r="B391" s="3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8"/>
      <c r="B392" s="3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8"/>
      <c r="B393" s="3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8"/>
      <c r="B394" s="3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8"/>
      <c r="B395" s="3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8"/>
      <c r="B396" s="3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8"/>
      <c r="B397" s="3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8"/>
      <c r="B398" s="3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8"/>
      <c r="B399" s="3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8"/>
      <c r="B400" s="3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8"/>
      <c r="B401" s="3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8"/>
      <c r="B402" s="3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8"/>
      <c r="B403" s="3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8"/>
      <c r="B404" s="3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8"/>
      <c r="B405" s="3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8"/>
      <c r="B406" s="3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8"/>
      <c r="B407" s="3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8"/>
      <c r="B408" s="3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8"/>
      <c r="B409" s="3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8"/>
      <c r="B410" s="3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8"/>
      <c r="B411" s="3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8"/>
      <c r="B412" s="3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8"/>
      <c r="B413" s="3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8"/>
      <c r="B414" s="3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8"/>
      <c r="B415" s="3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8"/>
      <c r="B416" s="3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8"/>
      <c r="B417" s="3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8"/>
      <c r="B418" s="3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8"/>
      <c r="B419" s="3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8"/>
      <c r="B420" s="3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8"/>
      <c r="B421" s="3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8"/>
      <c r="B422" s="3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8"/>
      <c r="B423" s="3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8"/>
      <c r="B424" s="3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8"/>
      <c r="B425" s="3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8"/>
      <c r="B426" s="3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8"/>
      <c r="B427" s="3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8"/>
      <c r="B428" s="3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8"/>
      <c r="B429" s="3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8"/>
      <c r="B430" s="3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8"/>
      <c r="B431" s="3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8"/>
      <c r="B432" s="3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8"/>
      <c r="B433" s="3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8"/>
      <c r="B434" s="3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8"/>
      <c r="B435" s="3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8"/>
      <c r="B436" s="3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8"/>
      <c r="B437" s="3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8"/>
      <c r="B438" s="3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8"/>
      <c r="B439" s="3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8"/>
      <c r="B440" s="3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8"/>
      <c r="B441" s="3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8"/>
      <c r="B442" s="3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8"/>
      <c r="B443" s="3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8"/>
      <c r="B444" s="3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8"/>
      <c r="B445" s="3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8"/>
      <c r="B446" s="3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8"/>
      <c r="B447" s="3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8"/>
      <c r="B448" s="3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8"/>
      <c r="B449" s="3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8"/>
      <c r="B450" s="3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8"/>
      <c r="B451" s="3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8"/>
      <c r="B452" s="3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8"/>
      <c r="B453" s="3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8"/>
      <c r="B454" s="3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8"/>
      <c r="B455" s="3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8"/>
      <c r="B456" s="3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8"/>
      <c r="B457" s="3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8"/>
      <c r="B458" s="3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8"/>
      <c r="B459" s="3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8"/>
      <c r="B460" s="3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8"/>
      <c r="B461" s="3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8"/>
      <c r="B462" s="3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8"/>
      <c r="B463" s="3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8"/>
      <c r="B464" s="3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8"/>
      <c r="B465" s="3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8"/>
      <c r="B466" s="3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8"/>
      <c r="B467" s="3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8"/>
      <c r="B468" s="3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8"/>
      <c r="B469" s="3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8"/>
      <c r="B470" s="3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8"/>
      <c r="B471" s="3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8"/>
      <c r="B472" s="3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8"/>
      <c r="B473" s="3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8"/>
      <c r="B474" s="3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8"/>
      <c r="B475" s="3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8"/>
      <c r="B476" s="3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8"/>
      <c r="B477" s="3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8"/>
      <c r="B478" s="3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8"/>
      <c r="B479" s="3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8"/>
      <c r="B480" s="3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8"/>
      <c r="B481" s="3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8"/>
      <c r="B482" s="3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8"/>
      <c r="B483" s="3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8"/>
      <c r="B484" s="3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8"/>
      <c r="B485" s="3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8"/>
      <c r="B486" s="3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8"/>
      <c r="B487" s="3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8"/>
      <c r="B488" s="3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8"/>
      <c r="B489" s="3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8"/>
      <c r="B490" s="3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8"/>
      <c r="B491" s="3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8"/>
      <c r="B492" s="3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8"/>
      <c r="B493" s="3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8"/>
      <c r="B494" s="3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8"/>
      <c r="B495" s="3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8"/>
      <c r="B496" s="3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8"/>
      <c r="B497" s="3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8"/>
      <c r="B498" s="3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8"/>
      <c r="B499" s="3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8"/>
      <c r="B500" s="3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8"/>
      <c r="B501" s="3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8"/>
      <c r="B502" s="3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8"/>
      <c r="B503" s="3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8"/>
      <c r="B504" s="3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8"/>
      <c r="B505" s="3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8"/>
      <c r="B506" s="3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8"/>
      <c r="B507" s="3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8"/>
      <c r="B508" s="3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8"/>
      <c r="B509" s="3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8"/>
      <c r="B510" s="3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8"/>
      <c r="B511" s="3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8"/>
      <c r="B512" s="3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8"/>
      <c r="B513" s="3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8"/>
      <c r="B514" s="3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8"/>
      <c r="B515" s="3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8"/>
      <c r="B516" s="3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8"/>
      <c r="B517" s="3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8"/>
      <c r="B518" s="3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8"/>
      <c r="B519" s="3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8"/>
      <c r="B520" s="3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8"/>
      <c r="B521" s="3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8"/>
      <c r="B522" s="3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8"/>
      <c r="B523" s="3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8"/>
      <c r="B524" s="3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8"/>
      <c r="B525" s="3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8"/>
      <c r="B526" s="3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8"/>
      <c r="B527" s="3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8"/>
      <c r="B528" s="3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8"/>
      <c r="B529" s="3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8"/>
      <c r="B530" s="3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8"/>
      <c r="B531" s="3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8"/>
      <c r="B532" s="3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8"/>
      <c r="B533" s="3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8"/>
      <c r="B534" s="3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8"/>
      <c r="B535" s="3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8"/>
      <c r="B536" s="3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8"/>
      <c r="B537" s="3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8"/>
      <c r="B538" s="3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8"/>
      <c r="B539" s="3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8"/>
      <c r="B540" s="3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8"/>
      <c r="B541" s="3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8"/>
      <c r="B542" s="3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8"/>
      <c r="B543" s="3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8"/>
      <c r="B544" s="3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8"/>
      <c r="B545" s="3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8"/>
      <c r="B546" s="3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8"/>
      <c r="B547" s="3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8"/>
      <c r="B548" s="3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8"/>
      <c r="B549" s="3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8"/>
      <c r="B550" s="3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8"/>
      <c r="B551" s="3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8"/>
      <c r="B552" s="3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8"/>
      <c r="B553" s="3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8"/>
      <c r="B554" s="3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8"/>
      <c r="B555" s="3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8"/>
      <c r="B556" s="3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8"/>
      <c r="B557" s="3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8"/>
      <c r="B558" s="3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8"/>
      <c r="B559" s="3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8"/>
      <c r="B560" s="3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8"/>
      <c r="B561" s="3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8"/>
      <c r="B562" s="3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8"/>
      <c r="B563" s="3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8"/>
      <c r="B564" s="3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8"/>
      <c r="B565" s="3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8"/>
      <c r="B566" s="3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8"/>
      <c r="B567" s="3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8"/>
      <c r="B568" s="3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8"/>
      <c r="B569" s="3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8"/>
      <c r="B570" s="3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8"/>
      <c r="B571" s="3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8"/>
      <c r="B572" s="3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8"/>
      <c r="B573" s="3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8"/>
      <c r="B574" s="3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8"/>
      <c r="B575" s="3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8"/>
      <c r="B576" s="3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8"/>
      <c r="B577" s="3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8"/>
      <c r="B578" s="3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8"/>
      <c r="B579" s="3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8"/>
      <c r="B580" s="3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8"/>
      <c r="B581" s="3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8"/>
      <c r="B582" s="3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8"/>
      <c r="B583" s="3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8"/>
      <c r="B584" s="3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8"/>
      <c r="B585" s="3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8"/>
      <c r="B586" s="3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8"/>
      <c r="B587" s="3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8"/>
      <c r="B588" s="3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8"/>
      <c r="B589" s="3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8"/>
      <c r="B590" s="3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8"/>
      <c r="B591" s="3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8"/>
      <c r="B592" s="3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8"/>
      <c r="B593" s="3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8"/>
      <c r="B594" s="3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8"/>
      <c r="B595" s="3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8"/>
      <c r="B596" s="3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8"/>
      <c r="B597" s="3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8"/>
      <c r="B598" s="3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8"/>
      <c r="B599" s="3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8"/>
      <c r="B600" s="3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8"/>
      <c r="B601" s="3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8"/>
      <c r="B602" s="3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8"/>
      <c r="B603" s="3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8"/>
      <c r="B604" s="3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8"/>
      <c r="B605" s="3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8"/>
      <c r="B606" s="3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8"/>
      <c r="B607" s="3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8"/>
      <c r="B608" s="3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8"/>
      <c r="B609" s="3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8"/>
      <c r="B610" s="3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8"/>
      <c r="B611" s="3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8"/>
      <c r="B612" s="3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8"/>
      <c r="B613" s="3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8"/>
      <c r="B614" s="3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8"/>
      <c r="B615" s="3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8"/>
      <c r="B616" s="3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8"/>
      <c r="B617" s="3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8"/>
      <c r="B618" s="3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8"/>
      <c r="B619" s="3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8"/>
      <c r="B620" s="3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8"/>
      <c r="B621" s="3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8"/>
      <c r="B622" s="3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8"/>
      <c r="B623" s="3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8"/>
      <c r="B624" s="3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8"/>
      <c r="B625" s="3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8"/>
      <c r="B626" s="3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8"/>
      <c r="B627" s="3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8"/>
      <c r="B628" s="3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8"/>
      <c r="B629" s="3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8"/>
      <c r="B630" s="3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8"/>
      <c r="B631" s="3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8"/>
      <c r="B632" s="3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8"/>
      <c r="B633" s="3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8"/>
      <c r="B634" s="3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8"/>
      <c r="B635" s="3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8"/>
      <c r="B636" s="3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8"/>
      <c r="B637" s="3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8"/>
      <c r="B638" s="3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8"/>
      <c r="B639" s="3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8"/>
      <c r="B640" s="3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8"/>
      <c r="B641" s="3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8"/>
      <c r="B642" s="3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8"/>
      <c r="B643" s="3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8"/>
      <c r="B644" s="3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8"/>
      <c r="B645" s="3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8"/>
      <c r="B646" s="3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8"/>
      <c r="B647" s="3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8"/>
      <c r="B648" s="3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8"/>
      <c r="B649" s="3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8"/>
      <c r="B650" s="3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8"/>
      <c r="B651" s="3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8"/>
      <c r="B652" s="3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8"/>
      <c r="B653" s="3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8"/>
      <c r="B654" s="3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8"/>
      <c r="B655" s="3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8"/>
      <c r="B656" s="3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8"/>
      <c r="B657" s="3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8"/>
      <c r="B658" s="3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8"/>
      <c r="B659" s="3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8"/>
      <c r="B660" s="3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8"/>
      <c r="B661" s="3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8"/>
      <c r="B662" s="3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8"/>
      <c r="B663" s="3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8"/>
      <c r="B664" s="3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8"/>
      <c r="B665" s="3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8"/>
      <c r="B666" s="3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8"/>
      <c r="B667" s="3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8"/>
      <c r="B668" s="3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8"/>
      <c r="B669" s="3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8"/>
      <c r="B670" s="3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8"/>
      <c r="B671" s="3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8"/>
      <c r="B672" s="3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8"/>
      <c r="B673" s="3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8"/>
      <c r="B674" s="3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8"/>
      <c r="B675" s="3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8"/>
      <c r="B676" s="3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8"/>
      <c r="B677" s="3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8"/>
      <c r="B678" s="3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8"/>
      <c r="B679" s="3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8"/>
      <c r="B680" s="3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8"/>
      <c r="B681" s="3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8"/>
      <c r="B682" s="3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8"/>
      <c r="B683" s="3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8"/>
      <c r="B684" s="3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8"/>
      <c r="B685" s="3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8"/>
      <c r="B686" s="3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8"/>
      <c r="B687" s="3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8"/>
      <c r="B688" s="3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8"/>
      <c r="B689" s="3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8"/>
      <c r="B690" s="3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8"/>
      <c r="B691" s="3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8"/>
      <c r="B692" s="3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8"/>
      <c r="B693" s="3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8"/>
      <c r="B694" s="3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8"/>
      <c r="B695" s="3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8"/>
      <c r="B696" s="3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8"/>
      <c r="B697" s="3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8"/>
      <c r="B698" s="3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8"/>
      <c r="B699" s="3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8"/>
      <c r="B700" s="3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8"/>
      <c r="B701" s="3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8"/>
      <c r="B702" s="3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8"/>
      <c r="B703" s="3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8"/>
      <c r="B704" s="3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8"/>
      <c r="B705" s="3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8"/>
      <c r="B706" s="3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8"/>
      <c r="B707" s="3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8"/>
      <c r="B708" s="3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8"/>
      <c r="B709" s="3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8"/>
      <c r="B710" s="3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8"/>
      <c r="B711" s="3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8"/>
      <c r="B712" s="3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8"/>
      <c r="B713" s="3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8"/>
      <c r="B714" s="3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8"/>
      <c r="B715" s="3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8"/>
      <c r="B716" s="3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8"/>
      <c r="B717" s="3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8"/>
      <c r="B718" s="3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8"/>
      <c r="B719" s="3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8"/>
      <c r="B720" s="3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8"/>
      <c r="B721" s="3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8"/>
      <c r="B722" s="3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8"/>
      <c r="B723" s="3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8"/>
      <c r="B724" s="3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8"/>
      <c r="B725" s="3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8"/>
      <c r="B726" s="3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8"/>
      <c r="B727" s="3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8"/>
      <c r="B728" s="3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8"/>
      <c r="B729" s="3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8"/>
      <c r="B730" s="3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8"/>
      <c r="B731" s="3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8"/>
      <c r="B732" s="3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8"/>
      <c r="B733" s="3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8"/>
      <c r="B734" s="3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8"/>
      <c r="B735" s="3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8"/>
      <c r="B736" s="3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8"/>
      <c r="B737" s="3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8"/>
      <c r="B738" s="3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8"/>
      <c r="B739" s="3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8"/>
      <c r="B740" s="3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8"/>
      <c r="B741" s="3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8"/>
      <c r="B742" s="3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8"/>
      <c r="B743" s="3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8"/>
      <c r="B744" s="3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8"/>
      <c r="B745" s="3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8"/>
      <c r="B746" s="3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8"/>
      <c r="B747" s="3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8"/>
      <c r="B748" s="3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8"/>
      <c r="B749" s="3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8"/>
      <c r="B750" s="3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8"/>
      <c r="B751" s="3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8"/>
      <c r="B752" s="3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8"/>
      <c r="B753" s="3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8"/>
      <c r="B754" s="3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8"/>
      <c r="B755" s="3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8"/>
      <c r="B756" s="3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8"/>
      <c r="B757" s="3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8"/>
      <c r="B758" s="3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8"/>
      <c r="B759" s="3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8"/>
      <c r="B760" s="3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8"/>
      <c r="B761" s="3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8"/>
      <c r="B762" s="3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8"/>
      <c r="B763" s="3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8"/>
      <c r="B764" s="3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8"/>
      <c r="B765" s="3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8"/>
      <c r="B766" s="3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8"/>
      <c r="B767" s="3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8"/>
      <c r="B768" s="3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8"/>
      <c r="B769" s="3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8"/>
      <c r="B770" s="3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8"/>
      <c r="B771" s="3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8"/>
      <c r="B772" s="3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8"/>
      <c r="B773" s="3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8"/>
      <c r="B774" s="3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8"/>
      <c r="B775" s="3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8"/>
      <c r="B776" s="3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8"/>
      <c r="B777" s="3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8"/>
      <c r="B778" s="3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8"/>
      <c r="B779" s="3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8"/>
      <c r="B780" s="3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8"/>
      <c r="B781" s="3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8"/>
      <c r="B782" s="3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8"/>
      <c r="B783" s="3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8"/>
      <c r="B784" s="3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8"/>
      <c r="B785" s="3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8"/>
      <c r="B786" s="3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8"/>
      <c r="B787" s="3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8"/>
      <c r="B788" s="3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8"/>
      <c r="B789" s="3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8"/>
      <c r="B790" s="3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8"/>
      <c r="B791" s="3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8"/>
      <c r="B792" s="3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8"/>
      <c r="B793" s="3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8"/>
      <c r="B794" s="3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8"/>
      <c r="B795" s="3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8"/>
      <c r="B796" s="3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8"/>
      <c r="B797" s="3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8"/>
      <c r="B798" s="3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8"/>
      <c r="B799" s="3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8"/>
      <c r="B800" s="3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8"/>
      <c r="B801" s="3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8"/>
      <c r="B802" s="3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8"/>
      <c r="B803" s="3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8"/>
      <c r="B804" s="3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8"/>
      <c r="B805" s="3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8"/>
      <c r="B806" s="3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8"/>
      <c r="B807" s="3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8"/>
      <c r="B808" s="3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8"/>
      <c r="B809" s="3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8"/>
      <c r="B810" s="3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8"/>
      <c r="B811" s="3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8"/>
      <c r="B812" s="3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8"/>
      <c r="B813" s="3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8"/>
      <c r="B814" s="3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8"/>
      <c r="B815" s="3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8"/>
      <c r="B816" s="3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8"/>
      <c r="B817" s="3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8"/>
      <c r="B818" s="3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8"/>
      <c r="B819" s="3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8"/>
      <c r="B820" s="3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8"/>
      <c r="B821" s="3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8"/>
      <c r="B822" s="3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8"/>
      <c r="B823" s="3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8"/>
      <c r="B824" s="3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8"/>
      <c r="B825" s="3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8"/>
      <c r="B826" s="3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8"/>
      <c r="B827" s="3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8"/>
      <c r="B828" s="3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8"/>
      <c r="B829" s="3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8"/>
      <c r="B830" s="3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8"/>
      <c r="B831" s="3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8"/>
      <c r="B832" s="3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8"/>
      <c r="B833" s="3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8"/>
      <c r="B834" s="3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8"/>
      <c r="B835" s="3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8"/>
      <c r="B836" s="3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8"/>
      <c r="B837" s="3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8"/>
      <c r="B838" s="3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8"/>
      <c r="B839" s="3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8"/>
      <c r="B840" s="3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8"/>
      <c r="B841" s="3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8"/>
      <c r="B842" s="3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8"/>
      <c r="B843" s="3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8"/>
      <c r="B844" s="3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8"/>
      <c r="B845" s="3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8"/>
      <c r="B846" s="3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8"/>
      <c r="B847" s="3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8"/>
      <c r="B848" s="3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8"/>
      <c r="B849" s="3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8"/>
      <c r="B850" s="3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8"/>
      <c r="B851" s="3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8"/>
      <c r="B852" s="3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8"/>
      <c r="B853" s="3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8"/>
      <c r="B854" s="3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8"/>
      <c r="B855" s="3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8"/>
      <c r="B856" s="3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8"/>
      <c r="B857" s="3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8"/>
      <c r="B858" s="3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8"/>
      <c r="B859" s="3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8"/>
      <c r="B860" s="3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8"/>
      <c r="B861" s="3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8"/>
      <c r="B862" s="3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8"/>
      <c r="B863" s="3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8"/>
      <c r="B864" s="3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8"/>
      <c r="B865" s="3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8"/>
      <c r="B866" s="3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8"/>
      <c r="B867" s="3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8"/>
      <c r="B868" s="3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8"/>
      <c r="B869" s="3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8"/>
      <c r="B870" s="3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8"/>
      <c r="B871" s="3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8"/>
      <c r="B872" s="3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8"/>
      <c r="B873" s="3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8"/>
      <c r="B874" s="3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8"/>
      <c r="B875" s="3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8"/>
      <c r="B876" s="3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8"/>
      <c r="B877" s="3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8"/>
      <c r="B878" s="3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8"/>
      <c r="B879" s="3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8"/>
      <c r="B880" s="3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8"/>
      <c r="B881" s="3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8"/>
      <c r="B882" s="3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8"/>
      <c r="B883" s="3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8"/>
      <c r="B884" s="3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8"/>
      <c r="B885" s="3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8"/>
      <c r="B886" s="3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8"/>
      <c r="B887" s="3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8"/>
      <c r="B888" s="3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8"/>
      <c r="B889" s="3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8"/>
      <c r="B890" s="3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8"/>
      <c r="B891" s="3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8"/>
      <c r="B892" s="3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8"/>
      <c r="B893" s="3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8"/>
      <c r="B894" s="3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8"/>
      <c r="B895" s="3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8"/>
      <c r="B896" s="3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8"/>
      <c r="B897" s="3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8"/>
      <c r="B898" s="3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8"/>
      <c r="B899" s="3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8"/>
      <c r="B900" s="3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8"/>
      <c r="B901" s="3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8"/>
      <c r="B902" s="3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8"/>
      <c r="B903" s="3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8"/>
      <c r="B904" s="3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8"/>
      <c r="B905" s="3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8"/>
      <c r="B906" s="3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8"/>
      <c r="B907" s="3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8"/>
      <c r="B908" s="3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8"/>
      <c r="B909" s="3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8"/>
      <c r="B910" s="3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8"/>
      <c r="B911" s="3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8"/>
      <c r="B912" s="3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8"/>
      <c r="B913" s="3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8"/>
      <c r="B914" s="3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8"/>
      <c r="B915" s="3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8"/>
      <c r="B916" s="3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8"/>
      <c r="B917" s="3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8"/>
      <c r="B918" s="3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8"/>
      <c r="B919" s="3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8"/>
      <c r="B920" s="3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8"/>
      <c r="B921" s="3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8"/>
      <c r="B922" s="3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8"/>
      <c r="B923" s="3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8"/>
      <c r="B924" s="3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8"/>
      <c r="B925" s="3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8"/>
      <c r="B926" s="3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8"/>
      <c r="B927" s="3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8"/>
      <c r="B928" s="3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8"/>
      <c r="B929" s="3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8"/>
      <c r="B930" s="3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8"/>
      <c r="B931" s="3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8"/>
      <c r="B932" s="3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8"/>
      <c r="B933" s="3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8"/>
      <c r="B934" s="3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8"/>
      <c r="B935" s="3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8"/>
      <c r="B936" s="3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8"/>
      <c r="B937" s="3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8"/>
      <c r="B938" s="3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8"/>
      <c r="B939" s="3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8"/>
      <c r="B940" s="3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8"/>
      <c r="B941" s="3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8"/>
      <c r="B942" s="3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8"/>
      <c r="B943" s="3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8"/>
      <c r="B944" s="3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8"/>
      <c r="B945" s="3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8"/>
      <c r="B946" s="3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8"/>
      <c r="B947" s="3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8"/>
      <c r="B948" s="3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8"/>
      <c r="B949" s="3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8"/>
      <c r="B950" s="3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8"/>
      <c r="B951" s="3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8"/>
      <c r="B952" s="3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8"/>
      <c r="B953" s="3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8"/>
      <c r="B954" s="3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8"/>
      <c r="B955" s="3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8"/>
      <c r="B956" s="3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8"/>
      <c r="B957" s="3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8"/>
      <c r="B958" s="3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8"/>
      <c r="B959" s="3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8"/>
      <c r="B960" s="3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8"/>
      <c r="B961" s="3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8"/>
      <c r="B962" s="3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8"/>
      <c r="B963" s="3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8"/>
      <c r="B964" s="3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8"/>
      <c r="B965" s="3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8"/>
      <c r="B966" s="3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8"/>
      <c r="B967" s="3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8"/>
      <c r="B968" s="3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8"/>
      <c r="B969" s="3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8"/>
      <c r="B970" s="3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8"/>
      <c r="B971" s="3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8"/>
      <c r="B972" s="3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8"/>
      <c r="B973" s="3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8"/>
      <c r="B974" s="3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8"/>
      <c r="B975" s="3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8"/>
      <c r="B976" s="3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8"/>
      <c r="B977" s="3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8"/>
      <c r="B978" s="3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8"/>
      <c r="B979" s="3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8"/>
      <c r="B980" s="3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8"/>
      <c r="B981" s="3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8"/>
      <c r="B982" s="3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8"/>
      <c r="B983" s="3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8"/>
      <c r="B984" s="3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8"/>
      <c r="B985" s="3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8"/>
      <c r="B986" s="3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8"/>
      <c r="B987" s="3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8"/>
      <c r="B988" s="3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8"/>
      <c r="B989" s="3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8"/>
      <c r="B990" s="3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8"/>
      <c r="B991" s="3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8"/>
      <c r="B992" s="3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8"/>
      <c r="B993" s="3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8"/>
      <c r="B994" s="3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8"/>
      <c r="B995" s="3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8"/>
      <c r="B996" s="3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8"/>
      <c r="B997" s="3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8"/>
      <c r="B998" s="3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8"/>
      <c r="B999" s="3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8"/>
      <c r="B1000" s="3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28"/>
      <c r="B1001" s="34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28"/>
      <c r="B1002" s="34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28"/>
      <c r="B1003" s="34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28"/>
      <c r="B1004" s="34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28"/>
      <c r="B1005" s="34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drawing r:id="rId1"/>
</worksheet>
</file>