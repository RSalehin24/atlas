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Current Month Breakdown" sheetId="2" r:id="rId6"/>
    <sheet state="visible" name="October 2026 GPU Planning" sheetId="3" r:id="rId7"/>
    <sheet state="visible" name="EMIs" sheetId="4" r:id="rId8"/>
    <sheet state="visible" name="INVESTMENT" sheetId="5" r:id="rId9"/>
    <sheet state="visible" name="LOANS" sheetId="6" r:id="rId10"/>
    <sheet state="visible" name="LENT" sheetId="7" r:id="rId11"/>
    <sheet state="visible" name="PROOF" sheetId="8" r:id="rId12"/>
    <sheet state="visible" name="Current Balance 2025" sheetId="9" r:id="rId13"/>
    <sheet state="visible" name="YEARLY_SAVINGS_2025" sheetId="10" r:id="rId14"/>
  </sheets>
  <definedNames>
    <definedName name="CURRENT_TOTAL_OF_YEARLY_SAVINGS">LAMBDA(start_date, start_month, end_month, amount, LET(
  today, TODAY(),
  months_passed, MAX(0, MIN(end_month - start_month + 1, 
    YEAR(today)*12 + MONTH(today) - (YEAR(today)*12 + start_month - 1) - IF(DAY(today) &lt; start_date, 1, 0)
  )),
  months_passed * amount
))</definedName>
  </definedNames>
  <calcPr/>
</workbook>
</file>

<file path=xl/sharedStrings.xml><?xml version="1.0" encoding="utf-8"?>
<sst xmlns="http://schemas.openxmlformats.org/spreadsheetml/2006/main" count="213" uniqueCount="123">
  <si>
    <t>MONTH</t>
  </si>
  <si>
    <t>INCOME</t>
  </si>
  <si>
    <t>SPENDING</t>
  </si>
  <si>
    <t>TOTAL SPENT</t>
  </si>
  <si>
    <t>REST</t>
  </si>
  <si>
    <t>TOTAL DEPOSIT</t>
  </si>
  <si>
    <t>Total Savings</t>
  </si>
  <si>
    <t>TOTAL</t>
  </si>
  <si>
    <t>LOAN</t>
  </si>
  <si>
    <t>SALARY</t>
  </si>
  <si>
    <t>BONUS</t>
  </si>
  <si>
    <t>TAX</t>
  </si>
  <si>
    <t>DPS</t>
  </si>
  <si>
    <t>CITY LOAN</t>
  </si>
  <si>
    <t>SCB LOAN</t>
  </si>
  <si>
    <t>EBL LOAN</t>
  </si>
  <si>
    <t>LENT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</si>
  <si>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</si>
  <si>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</si>
  <si>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</si>
  <si>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</si>
  <si>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</si>
  <si>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</si>
  <si>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</si>
  <si>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</si>
  <si>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</si>
  <si>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</si>
  <si>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 Total</t>
  </si>
  <si>
    <t>INFLOW</t>
  </si>
  <si>
    <t>OUTFLOW</t>
  </si>
  <si>
    <t>REMAINING</t>
  </si>
  <si>
    <t>ITEM</t>
  </si>
  <si>
    <t>AMOUNT</t>
  </si>
  <si>
    <t>PRIME NOW</t>
  </si>
  <si>
    <t>CREDIT CARDS</t>
  </si>
  <si>
    <t>MBD PREPAID</t>
  </si>
  <si>
    <t>CASH</t>
  </si>
  <si>
    <t>CREDIT</t>
  </si>
  <si>
    <t>DEBIT</t>
  </si>
  <si>
    <t>CREDIT CARD BILLS</t>
  </si>
  <si>
    <t>REMAINING CREDIT CARD BILLS</t>
  </si>
  <si>
    <t>CARD</t>
  </si>
  <si>
    <t>SCB TOTAL DEBT
ON SEP 10, 2026</t>
  </si>
  <si>
    <t>SCB</t>
  </si>
  <si>
    <t>NBL TOTAL DEBT
ON SEP 10, 2026</t>
  </si>
  <si>
    <t>EBL</t>
  </si>
  <si>
    <t>TOTAL DEBT</t>
  </si>
  <si>
    <t>NBL</t>
  </si>
  <si>
    <t>CREDIT CARD DEBT</t>
  </si>
  <si>
    <t>NASCENIA SAVINGS 101</t>
  </si>
  <si>
    <t>RENT</t>
  </si>
  <si>
    <t>NBL
ON OCT 08, 2026</t>
  </si>
  <si>
    <t>OFFICE FOOD</t>
  </si>
  <si>
    <t>No</t>
  </si>
  <si>
    <t>Bank</t>
  </si>
  <si>
    <t>Disbursed Date</t>
  </si>
  <si>
    <t>Start Date</t>
  </si>
  <si>
    <t>End Date</t>
  </si>
  <si>
    <t>Principal Amount</t>
  </si>
  <si>
    <t>Expenses</t>
  </si>
  <si>
    <t>EMI Amount</t>
  </si>
  <si>
    <t>Duration (in months)</t>
  </si>
  <si>
    <t>Total EMI Payment</t>
  </si>
  <si>
    <t>Total Paid</t>
  </si>
  <si>
    <t>Repaid</t>
  </si>
  <si>
    <t>Total Loam Amount</t>
  </si>
  <si>
    <t>SCB Credit</t>
  </si>
  <si>
    <t>Total</t>
  </si>
  <si>
    <t>Investment Date</t>
  </si>
  <si>
    <t>Investment Time</t>
  </si>
  <si>
    <t>Investment Day</t>
  </si>
  <si>
    <t>Return Date</t>
  </si>
  <si>
    <t>Organization</t>
  </si>
  <si>
    <t>Method</t>
  </si>
  <si>
    <t>Transaction Proof Document 1</t>
  </si>
  <si>
    <t>Order Details</t>
  </si>
  <si>
    <t>Investment Amount</t>
  </si>
  <si>
    <t>Return Amount</t>
  </si>
  <si>
    <t>Profit</t>
  </si>
  <si>
    <t>Total Investment</t>
  </si>
  <si>
    <t>Tuesday</t>
  </si>
  <si>
    <t>iFarmer</t>
  </si>
  <si>
    <t>EBL to EBL</t>
  </si>
  <si>
    <t>SkyBanking_iFarmer_Payment_Receipt.jpeg</t>
  </si>
  <si>
    <t>ifarmer_order_details.jpg</t>
  </si>
  <si>
    <t>Gmail_iFarmer_Transaction_Alert.pdf</t>
  </si>
  <si>
    <t>Monday</t>
  </si>
  <si>
    <t>8. SkyBanking_iFarmer_Payment_Receipt_103147.png</t>
  </si>
  <si>
    <t>9. SkyBanking_iFarmer_Payment_Receipt_103202.png</t>
  </si>
  <si>
    <t>City</t>
  </si>
  <si>
    <t>Yes</t>
  </si>
  <si>
    <t>Day</t>
  </si>
  <si>
    <t>Organizations</t>
  </si>
  <si>
    <t>Proof ID</t>
  </si>
  <si>
    <t>Date</t>
  </si>
  <si>
    <t xml:space="preserve">Return Date </t>
  </si>
  <si>
    <t>Amount</t>
  </si>
  <si>
    <t>Total Lent</t>
  </si>
  <si>
    <t>Sunday</t>
  </si>
  <si>
    <t>NPSB</t>
  </si>
  <si>
    <t>CITY to SONALI</t>
  </si>
  <si>
    <t>NOT SURE</t>
  </si>
  <si>
    <t>Wednesday</t>
  </si>
  <si>
    <t>EFTN</t>
  </si>
  <si>
    <t>HAND to HAND</t>
  </si>
  <si>
    <t>ID</t>
  </si>
  <si>
    <t>Proof</t>
  </si>
  <si>
    <t>Type</t>
  </si>
  <si>
    <t>Availability</t>
  </si>
  <si>
    <t>NET AMOUNT</t>
  </si>
  <si>
    <t>INVESTED</t>
  </si>
  <si>
    <t>IN HAND</t>
  </si>
  <si>
    <t>INVESTMENT</t>
  </si>
  <si>
    <t>LENT OUT</t>
  </si>
  <si>
    <t>YEARLY SAVINGS</t>
  </si>
  <si>
    <t>Month</t>
  </si>
  <si>
    <t>REBATE</t>
  </si>
  <si>
    <t>SAVINGS</t>
  </si>
  <si>
    <t>EMERGENCY</t>
  </si>
  <si>
    <t>Monthly Total</t>
  </si>
  <si>
    <t>Financial Institution</t>
  </si>
  <si>
    <t>Savings Type</t>
  </si>
  <si>
    <t>City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</si>
</sst>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#,##,##0"/>
    <numFmt numFmtId="166" formatCode="h:mm am/pm"/>
    <numFmt numFmtId="167" formatCode="d mmm 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  <font>
      <color rgb="FF1155CC"/>
      <name val="Arial"/>
      <scheme val="minor"/>
    </font>
    <font>
      <color rgb="FF000000"/>
      <name val="Arial"/>
      <scheme val="minor"/>
    </font>
    <font>
      <color rgb="FFFFFFFF"/>
      <name val="Arial"/>
    </font>
    <font>
      <color theme="1"/>
      <name val="Arial"/>
    </font>
    <font>
      <u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990000"/>
        <bgColor rgb="FF99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274E13"/>
        <bgColor rgb="FF274E13"/>
      </patternFill>
    </fill>
    <fill>
      <patternFill patternType="solid">
        <fgColor rgb="FF660000"/>
        <bgColor rgb="FF660000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2" fontId="2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2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4" fontId="1" numFmtId="0" xfId="0" applyAlignment="1" applyBorder="1" applyFill="1" applyFont="1">
      <alignment horizontal="center" readingOrder="0" shrinkToFit="0" vertical="center" wrapText="1"/>
    </xf>
    <xf borderId="0" fillId="5" fontId="1" numFmtId="3" xfId="0" applyAlignment="1" applyFill="1" applyFont="1" applyNumberFormat="1">
      <alignment horizontal="center" readingOrder="0" shrinkToFit="0" vertical="center" wrapText="1"/>
    </xf>
    <xf borderId="0" fillId="6" fontId="1" numFmtId="3" xfId="0" applyAlignment="1" applyFill="1" applyFont="1" applyNumberFormat="1">
      <alignment horizontal="center" readingOrder="0" shrinkToFit="0" vertical="center" wrapText="1"/>
    </xf>
    <xf borderId="0" fillId="6" fontId="1" numFmtId="3" xfId="0" applyAlignment="1" applyFill="1" applyFont="1" applyNumberFormat="1">
      <alignment horizontal="center" readingOrder="0" shrinkToFit="0" vertical="center" wrapText="1"/>
    </xf>
    <xf borderId="0" fillId="7" fontId="1" numFmtId="3" xfId="0" applyAlignment="1" applyFill="1" applyFont="1" applyNumberFormat="1">
      <alignment horizontal="center" readingOrder="0" shrinkToFit="0" vertical="center" wrapText="1"/>
    </xf>
    <xf borderId="0" fillId="8" fontId="1" numFmtId="3" xfId="0" applyAlignment="1" applyFill="1" applyFont="1" applyNumberFormat="1">
      <alignment horizontal="center" readingOrder="0" shrinkToFit="0" vertical="center" wrapText="1"/>
    </xf>
    <xf borderId="0" fillId="9" fontId="1" numFmtId="3" xfId="0" applyAlignment="1" applyFill="1" applyFont="1" applyNumberFormat="1">
      <alignment horizontal="center" readingOrder="0" shrinkToFit="0" vertical="center" wrapText="1"/>
    </xf>
    <xf borderId="10" fillId="10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1" fillId="11" fontId="2" numFmtId="3" xfId="0" applyAlignment="1" applyBorder="1" applyFill="1" applyFont="1" applyNumberFormat="1">
      <alignment horizontal="center" readingOrder="0" shrinkToFit="0" vertical="center" wrapText="1"/>
    </xf>
    <xf borderId="8" fillId="4" fontId="1" numFmtId="3" xfId="0" applyAlignment="1" applyBorder="1" applyFill="1" applyFont="1" applyNumberForma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10" fillId="10" fontId="1" numFmtId="3" xfId="0" applyAlignment="1" applyBorder="1" applyFill="1" applyFont="1" applyNumberFormat="1">
      <alignment horizontal="center" readingOrder="0" shrinkToFit="0" vertical="center" wrapText="1"/>
    </xf>
    <xf borderId="8" fillId="9" fontId="1" numFmtId="3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1" fillId="2" fontId="2" numFmtId="3" xfId="0" applyAlignment="1" applyBorder="1" applyFill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9" fontId="4" numFmtId="0" xfId="0" applyAlignment="1" applyFill="1" applyFont="1">
      <alignment horizontal="center" readingOrder="0" shrinkToFit="0" vertical="center" wrapText="1"/>
    </xf>
    <xf borderId="8" fillId="7" fontId="1" numFmtId="3" xfId="0" applyAlignment="1" applyBorder="1" applyFill="1" applyFont="1" applyNumberFormat="1">
      <alignment horizontal="center" readingOrder="0" shrinkToFit="0" vertical="center" wrapText="1"/>
    </xf>
    <xf borderId="9" fillId="4" fontId="5" numFmtId="0" xfId="0" applyAlignment="1" applyBorder="1" applyFill="1" applyFont="1">
      <alignment horizontal="center" readingOrder="0" shrinkToFit="0" vertical="center" wrapText="1"/>
    </xf>
    <xf borderId="0" fillId="5" fontId="5" numFmtId="3" xfId="0" applyAlignment="1" applyFill="1" applyFont="1" applyNumberFormat="1">
      <alignment horizontal="center" readingOrder="0" shrinkToFit="0" vertical="center" wrapText="1"/>
    </xf>
    <xf borderId="0" fillId="6" fontId="5" numFmtId="3" xfId="0" applyAlignment="1" applyFill="1" applyFont="1" applyNumberFormat="1">
      <alignment horizontal="center" readingOrder="0" shrinkToFit="0" vertical="center" wrapText="1"/>
    </xf>
    <xf borderId="0" fillId="7" fontId="5" numFmtId="3" xfId="0" applyAlignment="1" applyFill="1" applyFont="1" applyNumberFormat="1">
      <alignment horizontal="center" readingOrder="0" shrinkToFit="0" vertical="center" wrapText="1"/>
    </xf>
    <xf borderId="0" fillId="8" fontId="5" numFmtId="3" xfId="0" applyAlignment="1" applyFill="1" applyFont="1" applyNumberFormat="1">
      <alignment horizontal="center" readingOrder="0" shrinkToFit="0" vertical="center" wrapText="1"/>
    </xf>
    <xf borderId="0" fillId="9" fontId="5" numFmtId="3" xfId="0" applyAlignment="1" applyFill="1" applyFont="1" applyNumberFormat="1">
      <alignment horizontal="center" readingOrder="0" shrinkToFit="0" vertical="center" wrapText="1"/>
    </xf>
    <xf borderId="10" fillId="10" fontId="5" numFmtId="0" xfId="0" applyAlignment="1" applyBorder="1" applyFill="1" applyFont="1">
      <alignment horizontal="center" readingOrder="0" shrinkToFit="0" vertical="center" wrapText="1"/>
    </xf>
    <xf borderId="11" fillId="7" fontId="1" numFmtId="3" xfId="0" applyAlignment="1" applyBorder="1" applyFill="1" applyFont="1" applyNumberFormat="1">
      <alignment horizontal="center" readingOrder="0" shrinkToFit="0" vertical="center" wrapText="1"/>
    </xf>
    <xf borderId="9" fillId="4" fontId="4" numFmtId="0" xfId="0" applyAlignment="1" applyBorder="1" applyFill="1" applyFont="1">
      <alignment horizontal="center" readingOrder="0" shrinkToFit="0" vertical="center" wrapText="1"/>
    </xf>
    <xf borderId="0" fillId="5" fontId="4" numFmtId="3" xfId="0" applyAlignment="1" applyFill="1" applyFont="1" applyNumberFormat="1">
      <alignment horizontal="center" readingOrder="0" shrinkToFit="0" vertical="center" wrapText="1"/>
    </xf>
    <xf borderId="0" fillId="6" fontId="4" numFmtId="3" xfId="0" applyAlignment="1" applyFill="1" applyFont="1" applyNumberFormat="1">
      <alignment horizontal="center" readingOrder="0" shrinkToFit="0" vertical="center" wrapText="1"/>
    </xf>
    <xf borderId="0" fillId="7" fontId="4" numFmtId="3" xfId="0" applyAlignment="1" applyFill="1" applyFont="1" applyNumberFormat="1">
      <alignment horizontal="center" readingOrder="0" shrinkToFit="0" vertical="center" wrapText="1"/>
    </xf>
    <xf borderId="0" fillId="8" fontId="4" numFmtId="3" xfId="0" applyAlignment="1" applyFill="1" applyFont="1" applyNumberFormat="1">
      <alignment horizontal="center" readingOrder="0" shrinkToFit="0" vertical="center" wrapText="1"/>
    </xf>
    <xf borderId="10" fillId="10" fontId="4" numFmtId="0" xfId="0" applyAlignment="1" applyBorder="1" applyFill="1" applyFont="1">
      <alignment horizontal="center" readingOrder="0" shrinkToFit="0" vertical="center" wrapText="1"/>
    </xf>
    <xf borderId="12" fillId="2" fontId="2" numFmtId="0" xfId="0" applyAlignment="1" applyBorder="1" applyFill="1" applyFont="1">
      <alignment horizontal="center" readingOrder="0" shrinkToFit="0" vertical="center" wrapText="1"/>
    </xf>
    <xf borderId="13" fillId="2" fontId="2" numFmtId="3" xfId="0" applyAlignment="1" applyBorder="1" applyFill="1" applyFont="1" applyNumberFormat="1">
      <alignment horizontal="center" shrinkToFit="0" vertical="center" wrapText="1"/>
    </xf>
    <xf borderId="13" fillId="2" fontId="2" numFmtId="3" xfId="0" applyAlignment="1" applyBorder="1" applyFill="1" applyFont="1" applyNumberFormat="1">
      <alignment horizontal="center" shrinkToFit="0" vertical="center" wrapText="1"/>
    </xf>
    <xf borderId="13" fillId="2" fontId="2" numFmtId="0" xfId="0" applyAlignment="1" applyBorder="1" applyFill="1" applyFont="1">
      <alignment horizontal="center" readingOrder="0" shrinkToFit="0" vertical="center" wrapText="1"/>
    </xf>
    <xf borderId="14" fillId="2" fontId="2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0" fillId="0" fontId="7" numFmtId="0" xfId="0" applyAlignment="1" applyFont="1">
      <alignment horizontal="center" readingOrder="0" shrinkToFit="0" vertical="center" wrapText="1"/>
    </xf>
    <xf borderId="1" fillId="12" fontId="6" numFmtId="0" xfId="0" applyAlignment="1" applyBorder="1" applyFill="1" applyFont="1">
      <alignment horizontal="center" readingOrder="0" shrinkToFit="0" vertical="center" wrapText="1"/>
    </xf>
    <xf borderId="4" fillId="13" fontId="2" numFmtId="0" xfId="0" applyAlignment="1" applyBorder="1" applyFill="1" applyFont="1">
      <alignment horizontal="center" readingOrder="0" shrinkToFit="0" vertical="center" wrapText="1"/>
    </xf>
    <xf borderId="9" fillId="14" fontId="6" numFmtId="0" xfId="0" applyAlignment="1" applyBorder="1" applyFill="1" applyFont="1">
      <alignment horizontal="center" readingOrder="0" shrinkToFit="0" vertical="center" wrapText="1"/>
    </xf>
    <xf borderId="10" fillId="14" fontId="6" numFmtId="0" xfId="0" applyAlignment="1" applyBorder="1" applyFill="1" applyFont="1">
      <alignment horizontal="center" readingOrder="0" shrinkToFit="0" vertical="center" wrapText="1"/>
    </xf>
    <xf borderId="9" fillId="3" fontId="6" numFmtId="0" xfId="0" applyAlignment="1" applyBorder="1" applyFill="1" applyFont="1">
      <alignment horizontal="center" readingOrder="0" shrinkToFit="0" vertical="center" wrapText="1"/>
    </xf>
    <xf borderId="10" fillId="3" fontId="6" numFmtId="0" xfId="0" applyAlignment="1" applyBorder="1" applyFill="1" applyFont="1">
      <alignment horizontal="center" readingOrder="0" shrinkToFit="0" vertical="center" wrapText="1"/>
    </xf>
    <xf borderId="8" fillId="9" fontId="1" numFmtId="4" xfId="0" applyAlignment="1" applyBorder="1" applyFill="1" applyFont="1" applyNumberFormat="1">
      <alignment horizontal="center" shrinkToFit="0" vertical="center" wrapText="1"/>
    </xf>
    <xf borderId="0" fillId="15" fontId="7" numFmtId="164" xfId="0" applyAlignment="1" applyFill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9" fillId="6" fontId="1" numFmtId="0" xfId="0" applyAlignment="1" applyBorder="1" applyFill="1" applyFont="1">
      <alignment horizontal="center" readingOrder="0" shrinkToFit="0" vertical="center" wrapText="1"/>
    </xf>
    <xf borderId="10" fillId="6" fontId="1" numFmtId="4" xfId="0" applyAlignment="1" applyBorder="1" applyFill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9" fillId="7" fontId="7" numFmtId="0" xfId="0" applyAlignment="1" applyBorder="1" applyFill="1" applyFont="1">
      <alignment horizontal="center" readingOrder="0" shrinkToFit="0" vertical="center" wrapText="1"/>
    </xf>
    <xf borderId="10" fillId="7" fontId="7" numFmtId="165" xfId="0" applyAlignment="1" applyBorder="1" applyFill="1" applyFont="1" applyNumberFormat="1">
      <alignment horizontal="center" readingOrder="0" shrinkToFit="0" vertical="center" wrapText="1"/>
    </xf>
    <xf borderId="11" fillId="0" fontId="3" numFmtId="0" xfId="0" applyBorder="1" applyFont="1"/>
    <xf borderId="5" fillId="5" fontId="1" numFmtId="0" xfId="0" applyAlignment="1" applyBorder="1" applyFill="1" applyFont="1">
      <alignment horizontal="center" readingOrder="0" shrinkToFit="0" vertical="center" wrapText="1"/>
    </xf>
    <xf borderId="7" fillId="5" fontId="1" numFmtId="4" xfId="0" applyAlignment="1" applyBorder="1" applyFill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5" fillId="8" fontId="1" numFmtId="0" xfId="0" applyAlignment="1" applyBorder="1" applyFill="1" applyFont="1">
      <alignment horizontal="center" readingOrder="0" shrinkToFit="0" vertical="center" wrapText="1"/>
    </xf>
    <xf borderId="7" fillId="8" fontId="1" numFmtId="165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1" fillId="7" fontId="1" numFmtId="0" xfId="0" applyAlignment="1" applyBorder="1" applyFill="1" applyFont="1">
      <alignment horizontal="center" readingOrder="0" vertical="center"/>
    </xf>
    <xf borderId="3" fillId="7" fontId="1" numFmtId="0" xfId="0" applyAlignment="1" applyBorder="1" applyFill="1" applyFont="1">
      <alignment horizontal="center" readingOrder="0" shrinkToFit="0" vertical="center" wrapText="1"/>
    </xf>
    <xf borderId="9" fillId="7" fontId="1" numFmtId="0" xfId="0" applyAlignment="1" applyBorder="1" applyFill="1" applyFont="1">
      <alignment horizontal="center" readingOrder="0" shrinkToFit="0" vertical="center" wrapText="1"/>
    </xf>
    <xf borderId="10" fillId="7" fontId="1" numFmtId="0" xfId="0" applyAlignment="1" applyBorder="1" applyFill="1" applyFont="1">
      <alignment horizontal="center" readingOrder="0" shrinkToFit="0" vertical="center" wrapText="1"/>
    </xf>
    <xf borderId="5" fillId="8" fontId="1" numFmtId="0" xfId="0" applyAlignment="1" applyBorder="1" applyFill="1" applyFont="1">
      <alignment horizontal="center" readingOrder="0" vertical="center"/>
    </xf>
    <xf borderId="7" fillId="8" fontId="7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0" fillId="7" fontId="7" numFmtId="3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11" fontId="6" numFmtId="0" xfId="0" applyAlignment="1" applyBorder="1" applyFill="1" applyFont="1">
      <alignment horizontal="center" shrinkToFit="0" vertical="center" wrapText="1"/>
    </xf>
    <xf borderId="2" fillId="11" fontId="6" numFmtId="0" xfId="0" applyAlignment="1" applyBorder="1" applyFill="1" applyFont="1">
      <alignment horizontal="center" readingOrder="0" shrinkToFit="0" vertical="center" wrapText="1"/>
    </xf>
    <xf borderId="3" fillId="11" fontId="6" numFmtId="0" xfId="0" applyAlignment="1" applyBorder="1" applyFill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0" fillId="0" fontId="7" numFmtId="4" xfId="0" applyAlignment="1" applyFont="1" applyNumberFormat="1">
      <alignment horizontal="center" readingOrder="0" shrinkToFit="0" vertical="center" wrapText="1"/>
    </xf>
    <xf borderId="10" fillId="0" fontId="7" numFmtId="165" xfId="0" applyAlignment="1" applyBorder="1" applyFont="1" applyNumberFormat="1">
      <alignment horizontal="center" readingOrder="0" shrinkToFit="0" vertical="center" wrapText="1"/>
    </xf>
    <xf borderId="11" fillId="7" fontId="1" numFmtId="165" xfId="0" applyAlignment="1" applyBorder="1" applyFill="1" applyFont="1" applyNumberFormat="1">
      <alignment horizontal="center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6" fillId="6" fontId="7" numFmtId="164" xfId="0" applyAlignment="1" applyBorder="1" applyFill="1" applyFont="1" applyNumberFormat="1">
      <alignment horizontal="center" shrinkToFit="0" vertical="center" wrapText="1"/>
    </xf>
    <xf borderId="6" fillId="6" fontId="7" numFmtId="165" xfId="0" applyAlignment="1" applyBorder="1" applyFill="1" applyFont="1" applyNumberFormat="1">
      <alignment horizontal="center" shrinkToFit="0" vertical="center" wrapText="1"/>
    </xf>
    <xf borderId="7" fillId="0" fontId="7" numFmtId="165" xfId="0" applyAlignment="1" applyBorder="1" applyFont="1" applyNumberFormat="1">
      <alignment horizontal="center" readingOrder="0" shrinkToFit="0" vertical="center" wrapText="1"/>
    </xf>
    <xf borderId="2" fillId="11" fontId="6" numFmtId="0" xfId="0" applyAlignment="1" applyBorder="1" applyFill="1" applyFont="1">
      <alignment horizontal="center" shrinkToFit="0" vertical="center" wrapText="1"/>
    </xf>
    <xf borderId="0" fillId="0" fontId="7" numFmtId="166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7" numFmtId="164" xfId="0" applyAlignment="1" applyFill="1" applyFont="1" applyNumberFormat="1">
      <alignment horizontal="center" readingOrder="0" shrinkToFit="0" vertical="center" wrapText="1"/>
    </xf>
    <xf borderId="6" fillId="6" fontId="7" numFmtId="3" xfId="0" applyAlignment="1" applyBorder="1" applyFill="1" applyFont="1" applyNumberFormat="1">
      <alignment horizontal="center" shrinkToFit="0" vertical="center" wrapText="1"/>
    </xf>
    <xf borderId="7" fillId="6" fontId="7" numFmtId="3" xfId="0" applyAlignment="1" applyBorder="1" applyFill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12" fillId="11" fontId="6" numFmtId="0" xfId="0" applyAlignment="1" applyBorder="1" applyFill="1" applyFont="1">
      <alignment horizontal="center" shrinkToFit="0" vertical="center" wrapText="1"/>
    </xf>
    <xf borderId="13" fillId="11" fontId="6" numFmtId="0" xfId="0" applyAlignment="1" applyBorder="1" applyFill="1" applyFont="1">
      <alignment horizontal="center" shrinkToFit="0" vertical="center" wrapText="1"/>
    </xf>
    <xf borderId="14" fillId="11" fontId="6" numFmtId="0" xfId="0" applyAlignment="1" applyBorder="1" applyFill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10" fillId="0" fontId="7" numFmtId="3" xfId="0" applyAlignment="1" applyBorder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10" fillId="0" fontId="7" numFmtId="3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top"/>
    </xf>
    <xf borderId="0" fillId="11" fontId="2" numFmtId="0" xfId="0" applyAlignment="1" applyFill="1" applyFont="1">
      <alignment horizontal="center" readingOrder="0" vertical="top"/>
    </xf>
    <xf borderId="0" fillId="11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top"/>
    </xf>
    <xf borderId="0" fillId="16" fontId="1" numFmtId="0" xfId="0" applyAlignment="1" applyFill="1" applyFont="1">
      <alignment horizontal="center" readingOrder="0" shrinkToFit="0" vertical="center" wrapText="1"/>
    </xf>
    <xf borderId="12" fillId="11" fontId="2" numFmtId="0" xfId="0" applyAlignment="1" applyBorder="1" applyFill="1" applyFont="1">
      <alignment horizontal="center" readingOrder="0" shrinkToFit="0" vertical="center" wrapText="1"/>
    </xf>
    <xf borderId="13" fillId="11" fontId="2" numFmtId="0" xfId="0" applyAlignment="1" applyBorder="1" applyFill="1" applyFont="1">
      <alignment horizontal="center" readingOrder="0" shrinkToFit="0" vertical="center" wrapText="1"/>
    </xf>
    <xf borderId="14" fillId="11" fontId="2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3" xfId="0" applyAlignment="1" applyBorder="1" applyFont="1" applyNumberFormat="1">
      <alignment horizontal="center" readingOrder="0" shrinkToFit="0" vertical="center" wrapText="1"/>
    </xf>
    <xf borderId="7" fillId="0" fontId="1" numFmtId="3" xfId="0" applyAlignment="1" applyBorder="1" applyFont="1" applyNumberFormat="1">
      <alignment horizontal="center" readingOrder="0" shrinkToFit="0" vertical="center" wrapText="1"/>
    </xf>
    <xf borderId="5" fillId="6" fontId="1" numFmtId="0" xfId="0" applyAlignment="1" applyBorder="1" applyFill="1" applyFont="1">
      <alignment horizontal="center" readingOrder="0" shrinkToFit="0" vertical="center" wrapText="1"/>
    </xf>
    <xf borderId="7" fillId="6" fontId="1" numFmtId="3" xfId="0" applyAlignment="1" applyBorder="1" applyFill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readingOrder="0" shrinkToFit="0" vertical="center" wrapText="1"/>
    </xf>
    <xf borderId="2" fillId="11" fontId="2" numFmtId="0" xfId="0" applyAlignment="1" applyBorder="1" applyFill="1" applyFont="1">
      <alignment horizontal="center" readingOrder="0" shrinkToFit="0" vertical="center" wrapText="1"/>
    </xf>
    <xf borderId="3" fillId="11" fontId="2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3" xfId="0" applyAlignment="1" applyBorder="1" applyFont="1" applyNumberFormat="1">
      <alignment horizontal="center" readingOrder="0" shrinkToFit="0" vertical="center" wrapText="1"/>
    </xf>
    <xf borderId="10" fillId="0" fontId="1" numFmtId="3" xfId="0" applyAlignment="1" applyBorder="1" applyFont="1" applyNumberFormat="1">
      <alignment horizontal="center" readingOrder="0" shrinkToFit="0" vertical="center" wrapText="1"/>
    </xf>
    <xf borderId="5" fillId="4" fontId="1" numFmtId="3" xfId="0" applyAlignment="1" applyBorder="1" applyFill="1" applyFont="1" applyNumberFormat="1">
      <alignment horizontal="center" readingOrder="0" shrinkToFit="0" vertical="center" wrapText="1"/>
    </xf>
    <xf borderId="7" fillId="4" fontId="1" numFmtId="3" xfId="0" applyAlignment="1" applyBorder="1" applyFill="1" applyFont="1" applyNumberFormat="1">
      <alignment horizontal="center" readingOrder="0" shrinkToFit="0" vertical="center" wrapText="1"/>
    </xf>
    <xf borderId="6" fillId="6" fontId="1" numFmtId="3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657475" cy="81248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676525" cy="9725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667000" cy="92583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gPfs9wYHlPV9swcToHUtddAFKfukoai/view?usp=drive_link" TargetMode="External"/><Relationship Id="rId2" Type="http://schemas.openxmlformats.org/officeDocument/2006/relationships/hyperlink" Target="https://drive.google.com/file/d/1X64zevo_Ygf9IS1j4468-Vj2_EeKvopZ/view?usp=drive_link" TargetMode="External"/><Relationship Id="rId3" Type="http://schemas.openxmlformats.org/officeDocument/2006/relationships/hyperlink" Target="https://drive.google.com/file/d/1EhooC5beG-unwd7DxEk7OR4sn_hjoT-K/view?usp=drive_link" TargetMode="External"/><Relationship Id="rId4" Type="http://schemas.openxmlformats.org/officeDocument/2006/relationships/hyperlink" Target="https://drive.google.com/file/d/1FdTrSC9Q35HL5Wz8P_lXqmZtjjw_DUzd/view?usp=sharing" TargetMode="External"/><Relationship Id="rId5" Type="http://schemas.openxmlformats.org/officeDocument/2006/relationships/hyperlink" Target="https://drive.google.com/file/d/1siiXTR-5lv_0dupqWFkGENewtlvqsaQc/view?usp=drive_link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37" width="17.0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24.75" customHeight="1">
      <c r="A2" s="1"/>
      <c r="B2" s="3" t="s">
        <v>0</v>
      </c>
      <c r="C2" s="4" t="s">
        <v>1</v>
      </c>
      <c r="D2" s="5"/>
      <c r="E2" s="5"/>
      <c r="F2" s="5"/>
      <c r="G2" s="4" t="s">
        <v>2</v>
      </c>
      <c r="H2" s="5"/>
      <c r="I2" s="5"/>
      <c r="J2" s="5"/>
      <c r="K2" s="5"/>
      <c r="L2" s="5"/>
      <c r="M2" s="4"/>
      <c r="N2" s="4" t="s">
        <v>3</v>
      </c>
      <c r="O2" s="4" t="s">
        <v>4</v>
      </c>
      <c r="P2" s="6" t="s">
        <v>5</v>
      </c>
      <c r="Q2" s="1"/>
      <c r="R2" s="7" t="s">
        <v>6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ht="24.0" customHeight="1">
      <c r="A3" s="1"/>
      <c r="B3" s="8"/>
      <c r="C3" s="9" t="s">
        <v>7</v>
      </c>
      <c r="D3" s="9" t="s">
        <v>8</v>
      </c>
      <c r="E3" s="9" t="s">
        <v>9</v>
      </c>
      <c r="F3" s="9" t="s">
        <v>10</v>
      </c>
      <c r="G3" s="9" t="s">
        <v>2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10"/>
      <c r="O3" s="10"/>
      <c r="P3" s="11"/>
      <c r="Q3" s="1"/>
      <c r="R3" s="1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ht="34.5" customHeight="1">
      <c r="A4" s="1"/>
      <c r="B4" s="13" t="s">
        <v>17</v>
      </c>
      <c r="C4" s="14">
        <f t="shared" ref="C4:C13" si="1">SUM(D4:F4)</f>
        <v>146431</v>
      </c>
      <c r="D4" s="15">
        <v>50000.0</v>
      </c>
      <c r="E4" s="15">
        <v>68400.0</v>
      </c>
      <c r="F4" s="16">
        <f>ROUND(((60000*8+32727+68400*2+68400*(20/31))/(60000*9+68400*2+68400*(20/31))*(354/365))*(30000*9/12+34200*2.645/12),0)</f>
        <v>28031</v>
      </c>
      <c r="G4" s="17">
        <f>-20000+104-501</f>
        <v>-20397</v>
      </c>
      <c r="H4" s="17">
        <f>-(5000-666*2)/5+1</f>
        <v>-732.6</v>
      </c>
      <c r="I4" s="17">
        <v>-15000.0</v>
      </c>
      <c r="J4" s="17">
        <v>-15301.0</v>
      </c>
      <c r="K4" s="17">
        <v>0.0</v>
      </c>
      <c r="L4" s="17">
        <v>0.0</v>
      </c>
      <c r="M4" s="17">
        <v>-95000.0</v>
      </c>
      <c r="N4" s="18">
        <f t="shared" ref="N4:N11" si="2">SUM(G4:H4,J4:M4)</f>
        <v>-131430.6</v>
      </c>
      <c r="O4" s="19">
        <f>SUM(D4:M4)</f>
        <v>0.4</v>
      </c>
      <c r="P4" s="20">
        <v>0.0</v>
      </c>
      <c r="Q4" s="21"/>
      <c r="R4" s="22">
        <f>P14</f>
        <v>0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ht="34.5" customHeight="1">
      <c r="A5" s="1"/>
      <c r="B5" s="13" t="s">
        <v>18</v>
      </c>
      <c r="C5" s="14">
        <f t="shared" si="1"/>
        <v>68400</v>
      </c>
      <c r="D5" s="15">
        <v>0.0</v>
      </c>
      <c r="E5" s="15">
        <v>68400.0</v>
      </c>
      <c r="F5" s="15">
        <v>0.0</v>
      </c>
      <c r="G5" s="17">
        <f>-20000+4296-500+575</f>
        <v>-15629</v>
      </c>
      <c r="H5" s="17">
        <f t="shared" ref="H5:H8" si="3">-(5000-666*2)/5</f>
        <v>-733.6</v>
      </c>
      <c r="I5" s="17">
        <v>-15000.0</v>
      </c>
      <c r="J5" s="17">
        <v>-15301.0</v>
      </c>
      <c r="K5" s="17">
        <v>-12334.0</v>
      </c>
      <c r="L5" s="17">
        <f>-8827-575</f>
        <v>-9402</v>
      </c>
      <c r="M5" s="17">
        <v>0.0</v>
      </c>
      <c r="N5" s="18">
        <f t="shared" si="2"/>
        <v>-53399.6</v>
      </c>
      <c r="O5" s="19">
        <f>SUM(E5:M5)</f>
        <v>0.4</v>
      </c>
      <c r="P5" s="20">
        <v>0.0</v>
      </c>
      <c r="Q5" s="21"/>
      <c r="R5" s="23">
        <v>0.0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ht="34.5" customHeight="1">
      <c r="A6" s="1"/>
      <c r="B6" s="13" t="s">
        <v>19</v>
      </c>
      <c r="C6" s="14">
        <f t="shared" si="1"/>
        <v>98400</v>
      </c>
      <c r="D6" s="15">
        <v>0.0</v>
      </c>
      <c r="E6" s="15">
        <v>68400.0</v>
      </c>
      <c r="F6" s="15">
        <f>30000</f>
        <v>30000</v>
      </c>
      <c r="G6" s="17">
        <f>-20000+4296-500</f>
        <v>-16204</v>
      </c>
      <c r="H6" s="17">
        <f t="shared" si="3"/>
        <v>-733.6</v>
      </c>
      <c r="I6" s="17">
        <v>0.0</v>
      </c>
      <c r="J6" s="17">
        <v>-15301.0</v>
      </c>
      <c r="K6" s="17">
        <v>-12334.0</v>
      </c>
      <c r="L6" s="17">
        <f>-8975-35000</f>
        <v>-43975</v>
      </c>
      <c r="M6" s="17">
        <v>0.0</v>
      </c>
      <c r="N6" s="18">
        <f t="shared" si="2"/>
        <v>-88547.6</v>
      </c>
      <c r="O6" s="24">
        <v>0.0</v>
      </c>
      <c r="P6" s="25">
        <f>-I6</f>
        <v>0</v>
      </c>
      <c r="Q6" s="21"/>
      <c r="R6" s="26">
        <v>303200.0</v>
      </c>
      <c r="S6" s="27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ht="29.25" customHeight="1">
      <c r="A7" s="1"/>
      <c r="B7" s="13" t="s">
        <v>20</v>
      </c>
      <c r="C7" s="14">
        <f t="shared" si="1"/>
        <v>68400</v>
      </c>
      <c r="D7" s="15">
        <v>0.0</v>
      </c>
      <c r="E7" s="15">
        <v>68400.0</v>
      </c>
      <c r="F7" s="15">
        <v>0.0</v>
      </c>
      <c r="G7" s="17">
        <f>-20000+1374-500</f>
        <v>-19126</v>
      </c>
      <c r="H7" s="17">
        <f t="shared" si="3"/>
        <v>-733.6</v>
      </c>
      <c r="I7" s="17">
        <v>-15000.0</v>
      </c>
      <c r="J7" s="17">
        <v>0.0</v>
      </c>
      <c r="K7" s="17">
        <v>-12334.0</v>
      </c>
      <c r="L7" s="17">
        <v>0.0</v>
      </c>
      <c r="M7" s="17">
        <v>0.0</v>
      </c>
      <c r="N7" s="18">
        <f t="shared" si="2"/>
        <v>-32193.6</v>
      </c>
      <c r="O7" s="24">
        <v>0.0</v>
      </c>
      <c r="P7" s="20">
        <v>0.0</v>
      </c>
      <c r="Q7" s="2"/>
      <c r="R7" s="28">
        <f>SUM(R4:R6)</f>
        <v>303200</v>
      </c>
      <c r="S7" s="29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ht="29.25" customHeight="1">
      <c r="A8" s="1"/>
      <c r="B8" s="13" t="s">
        <v>21</v>
      </c>
      <c r="C8" s="14">
        <f t="shared" si="1"/>
        <v>68400</v>
      </c>
      <c r="D8" s="15">
        <v>0.0</v>
      </c>
      <c r="E8" s="15">
        <v>68400.0</v>
      </c>
      <c r="F8" s="15">
        <v>0.0</v>
      </c>
      <c r="G8" s="17">
        <f t="shared" ref="G8:G10" si="4">-20000</f>
        <v>-20000</v>
      </c>
      <c r="H8" s="17">
        <f t="shared" si="3"/>
        <v>-733.6</v>
      </c>
      <c r="I8" s="17">
        <v>-5000.0</v>
      </c>
      <c r="J8" s="17">
        <v>0.0</v>
      </c>
      <c r="K8" s="17">
        <v>-12334.0</v>
      </c>
      <c r="L8" s="17">
        <v>0.0</v>
      </c>
      <c r="M8" s="17">
        <v>0.0</v>
      </c>
      <c r="N8" s="18">
        <f t="shared" si="2"/>
        <v>-33067.6</v>
      </c>
      <c r="O8" s="30">
        <v>0.0</v>
      </c>
      <c r="P8" s="20">
        <v>0.0</v>
      </c>
      <c r="Q8" s="2"/>
      <c r="R8" s="31">
        <v>0.0</v>
      </c>
      <c r="S8" s="29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ht="29.25" customHeight="1">
      <c r="A9" s="1"/>
      <c r="B9" s="32" t="s">
        <v>22</v>
      </c>
      <c r="C9" s="33">
        <f t="shared" si="1"/>
        <v>68400</v>
      </c>
      <c r="D9" s="34">
        <v>0.0</v>
      </c>
      <c r="E9" s="34">
        <v>68400.0</v>
      </c>
      <c r="F9" s="34">
        <v>0.0</v>
      </c>
      <c r="G9" s="35">
        <f t="shared" si="4"/>
        <v>-20000</v>
      </c>
      <c r="H9" s="35">
        <v>-416.0</v>
      </c>
      <c r="I9" s="35">
        <v>0.0</v>
      </c>
      <c r="J9" s="35">
        <v>0.0</v>
      </c>
      <c r="K9" s="35">
        <f>-12333.33</f>
        <v>-12333.33</v>
      </c>
      <c r="L9" s="35">
        <v>0.0</v>
      </c>
      <c r="M9" s="35">
        <v>0.0</v>
      </c>
      <c r="N9" s="36">
        <f t="shared" si="2"/>
        <v>-32749.33</v>
      </c>
      <c r="O9" s="37">
        <v>0.0</v>
      </c>
      <c r="P9" s="38">
        <v>0.0</v>
      </c>
      <c r="Q9" s="2"/>
      <c r="R9" s="39">
        <f>SUM(R7,R8)</f>
        <v>303200</v>
      </c>
      <c r="S9" s="29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ht="29.25" customHeight="1">
      <c r="A10" s="1"/>
      <c r="B10" s="13" t="s">
        <v>23</v>
      </c>
      <c r="C10" s="14">
        <f t="shared" si="1"/>
        <v>68400</v>
      </c>
      <c r="D10" s="15">
        <v>0.0</v>
      </c>
      <c r="E10" s="15">
        <v>68400.0</v>
      </c>
      <c r="F10" s="15">
        <v>0.0</v>
      </c>
      <c r="G10" s="17">
        <f t="shared" si="4"/>
        <v>-20000</v>
      </c>
      <c r="H10" s="17">
        <v>-416.0</v>
      </c>
      <c r="I10" s="17">
        <v>0.0</v>
      </c>
      <c r="J10" s="17">
        <v>0.0</v>
      </c>
      <c r="K10" s="17">
        <f>-EMIs!I6</f>
        <v>-41149.57</v>
      </c>
      <c r="L10" s="17">
        <v>0.0</v>
      </c>
      <c r="M10" s="17">
        <v>0.0</v>
      </c>
      <c r="N10" s="18">
        <f t="shared" si="2"/>
        <v>-61565.57</v>
      </c>
      <c r="O10" s="24">
        <v>0.0</v>
      </c>
      <c r="P10" s="20">
        <v>0.0</v>
      </c>
      <c r="Q10" s="2"/>
      <c r="R10" s="29"/>
      <c r="S10" s="29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ht="29.25" customHeight="1">
      <c r="A11" s="1"/>
      <c r="B11" s="40" t="s">
        <v>24</v>
      </c>
      <c r="C11" s="41">
        <f t="shared" si="1"/>
        <v>68400</v>
      </c>
      <c r="D11" s="42">
        <v>0.0</v>
      </c>
      <c r="E11" s="42">
        <v>68400.0</v>
      </c>
      <c r="F11" s="42">
        <v>0.0</v>
      </c>
      <c r="G11" s="43">
        <v>-20000.0</v>
      </c>
      <c r="H11" s="43">
        <v>-416.0</v>
      </c>
      <c r="I11" s="43">
        <v>0.0</v>
      </c>
      <c r="J11" s="43">
        <v>0.0</v>
      </c>
      <c r="K11" s="43">
        <f>-SUM(EMIs!I4,EMIs!I5)</f>
        <v>-28816.24</v>
      </c>
      <c r="L11" s="43">
        <v>0.0</v>
      </c>
      <c r="M11" s="43">
        <v>0.0</v>
      </c>
      <c r="N11" s="44">
        <f t="shared" si="2"/>
        <v>-49232.24</v>
      </c>
      <c r="O11" s="30">
        <v>0.0</v>
      </c>
      <c r="P11" s="45">
        <v>0.0</v>
      </c>
      <c r="Q11" s="2"/>
      <c r="R11" s="29"/>
      <c r="S11" s="29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ht="29.25" customHeight="1">
      <c r="A12" s="1"/>
      <c r="B12" s="13" t="s">
        <v>25</v>
      </c>
      <c r="C12" s="14">
        <f t="shared" si="1"/>
        <v>68400</v>
      </c>
      <c r="D12" s="15">
        <v>0.0</v>
      </c>
      <c r="E12" s="15">
        <v>68400.0</v>
      </c>
      <c r="F12" s="15">
        <v>0.0</v>
      </c>
      <c r="G12" s="17">
        <v>-20000.0</v>
      </c>
      <c r="H12" s="17">
        <v>-416.0</v>
      </c>
      <c r="I12" s="17">
        <v>0.0</v>
      </c>
      <c r="J12" s="17">
        <v>0.0</v>
      </c>
      <c r="K12" s="17">
        <f>-SUM(EMIs!I4,EMIs!I5)</f>
        <v>-28816.24</v>
      </c>
      <c r="L12" s="17">
        <v>0.0</v>
      </c>
      <c r="M12" s="17">
        <v>0.0</v>
      </c>
      <c r="N12" s="18">
        <f>SUM(G12:M12)</f>
        <v>-49232.24</v>
      </c>
      <c r="O12" s="19">
        <f>sum(D12:M12)</f>
        <v>19167.76</v>
      </c>
      <c r="P12" s="20">
        <v>0.0</v>
      </c>
      <c r="Q12" s="2"/>
      <c r="R12" s="29"/>
      <c r="S12" s="29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ht="29.25" customHeight="1">
      <c r="A13" s="1"/>
      <c r="B13" s="13" t="s">
        <v>26</v>
      </c>
      <c r="C13" s="14">
        <f t="shared" si="1"/>
        <v>68400</v>
      </c>
      <c r="D13" s="15">
        <v>0.0</v>
      </c>
      <c r="E13" s="15">
        <v>68400.0</v>
      </c>
      <c r="F13" s="15">
        <v>0.0</v>
      </c>
      <c r="G13" s="17">
        <v>-20000.0</v>
      </c>
      <c r="H13" s="17">
        <v>-416.0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>SUM(G13:H13,J13:M13)</f>
        <v>-20416</v>
      </c>
      <c r="O13" s="24">
        <v>0.0</v>
      </c>
      <c r="P13" s="20">
        <v>0.0</v>
      </c>
      <c r="Q13" s="2"/>
      <c r="R13" s="29"/>
      <c r="S13" s="29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ht="29.25" customHeight="1">
      <c r="A14" s="1"/>
      <c r="B14" s="46" t="s">
        <v>27</v>
      </c>
      <c r="C14" s="47">
        <f t="shared" ref="C14:N14" si="5">SUM(C4:C13)</f>
        <v>792031</v>
      </c>
      <c r="D14" s="48">
        <f t="shared" si="5"/>
        <v>50000</v>
      </c>
      <c r="E14" s="48">
        <f t="shared" si="5"/>
        <v>684000</v>
      </c>
      <c r="F14" s="47">
        <f t="shared" si="5"/>
        <v>58031</v>
      </c>
      <c r="G14" s="48">
        <f t="shared" si="5"/>
        <v>-191356</v>
      </c>
      <c r="H14" s="48">
        <f t="shared" si="5"/>
        <v>-5747</v>
      </c>
      <c r="I14" s="48">
        <f t="shared" si="5"/>
        <v>-50000</v>
      </c>
      <c r="J14" s="48">
        <f t="shared" si="5"/>
        <v>-45903</v>
      </c>
      <c r="K14" s="48">
        <f t="shared" si="5"/>
        <v>-160451.38</v>
      </c>
      <c r="L14" s="48">
        <f t="shared" si="5"/>
        <v>-53377</v>
      </c>
      <c r="M14" s="48">
        <f t="shared" si="5"/>
        <v>-95000</v>
      </c>
      <c r="N14" s="48">
        <f t="shared" si="5"/>
        <v>-551834.38</v>
      </c>
      <c r="O14" s="49">
        <v>0.0</v>
      </c>
      <c r="P14" s="50">
        <f>SUM(P4:P13)</f>
        <v>0</v>
      </c>
      <c r="Q14" s="2"/>
      <c r="R14" s="1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ht="29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ht="29.25" customHeight="1">
      <c r="A16" s="2"/>
      <c r="C16" s="2"/>
      <c r="F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ht="29.25" customHeight="1">
      <c r="A17" s="2"/>
      <c r="C17" s="1"/>
      <c r="F17" s="1"/>
      <c r="I17" s="1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ht="29.25" customHeight="1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ht="29.25" customHeight="1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ht="29.25" customHeight="1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ht="29.25" customHeight="1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ht="29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ht="29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ht="29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ht="29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ht="29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ht="29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ht="29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ht="29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ht="29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ht="29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ht="29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ht="29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ht="29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ht="29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ht="29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ht="29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ht="29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ht="29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ht="29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ht="29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ht="29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ht="29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ht="29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ht="29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ht="29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ht="29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ht="29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ht="29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ht="29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ht="29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ht="29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ht="29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ht="29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ht="29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29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29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ht="29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ht="29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ht="29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ht="29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ht="29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ht="29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ht="29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ht="29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ht="29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ht="29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ht="29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ht="29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ht="29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ht="29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ht="29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ht="29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ht="29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ht="29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ht="29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ht="29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ht="29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ht="29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ht="29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ht="29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ht="29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ht="29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ht="29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ht="29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ht="29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ht="29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ht="29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ht="29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ht="29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ht="29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ht="29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ht="29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ht="29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ht="29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29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ht="29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ht="29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29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29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ht="29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29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29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ht="29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29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29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29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29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29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29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29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29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29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29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ht="29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29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ht="29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29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29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29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ht="29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ht="29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ht="29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29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29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ht="29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ht="29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ht="29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ht="29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29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29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29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ht="29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ht="29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ht="29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ht="29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ht="29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ht="29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ht="29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ht="29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ht="29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ht="29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ht="29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ht="29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ht="29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29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ht="29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ht="29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ht="29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ht="29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ht="29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ht="29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ht="29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ht="29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ht="29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ht="29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ht="29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ht="29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ht="29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ht="29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ht="29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ht="29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ht="29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ht="29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ht="29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ht="29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ht="29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ht="29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ht="29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ht="29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ht="29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ht="29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ht="29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ht="29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ht="29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ht="29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ht="29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ht="29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ht="29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ht="29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ht="29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ht="29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ht="29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ht="29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ht="29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ht="29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ht="29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ht="29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ht="29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ht="29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ht="29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ht="29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ht="29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ht="29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ht="29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ht="29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ht="29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ht="29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ht="29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ht="29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ht="29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ht="29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ht="29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ht="29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ht="29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ht="29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ht="29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ht="29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ht="29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ht="29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ht="29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ht="29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ht="29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ht="29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ht="29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ht="29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ht="29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ht="29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ht="29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ht="29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ht="29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ht="29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ht="29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ht="29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ht="29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ht="29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ht="29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ht="29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ht="29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ht="29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ht="29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ht="29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ht="29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ht="29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ht="29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ht="29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ht="29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ht="29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ht="29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ht="29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ht="29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ht="29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ht="29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ht="29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ht="29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ht="29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ht="29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ht="29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ht="29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ht="29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ht="29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ht="29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ht="29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ht="29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ht="29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ht="29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ht="29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ht="29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ht="29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ht="29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ht="29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ht="29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ht="29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ht="29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ht="29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ht="29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ht="29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ht="29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ht="29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ht="29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ht="29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ht="29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ht="29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ht="29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ht="29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ht="29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ht="29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ht="29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ht="29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ht="29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ht="29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ht="29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ht="29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ht="29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ht="29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ht="29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ht="29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ht="29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ht="29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ht="29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ht="29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ht="29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ht="29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ht="29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ht="29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ht="29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ht="29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ht="29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ht="29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ht="29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ht="29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ht="29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ht="29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ht="29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ht="29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ht="29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ht="29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ht="29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ht="29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ht="29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ht="29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ht="29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ht="29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ht="29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ht="29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ht="29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ht="29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ht="29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ht="29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ht="29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ht="29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ht="29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ht="29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ht="29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ht="29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ht="29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ht="29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ht="29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ht="29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ht="29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ht="29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ht="29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ht="29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ht="29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ht="29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ht="29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ht="29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ht="29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ht="29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ht="29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ht="29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ht="29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ht="29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ht="29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ht="29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ht="29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ht="29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ht="29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ht="29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ht="29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ht="29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ht="29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ht="29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ht="29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ht="29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ht="29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ht="29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ht="29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ht="29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ht="29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ht="29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ht="29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ht="29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ht="29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ht="29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ht="29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ht="29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ht="29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ht="29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ht="29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ht="29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ht="29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ht="29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ht="29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ht="29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ht="29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ht="29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ht="29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ht="29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ht="29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ht="29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ht="29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ht="29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ht="29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ht="29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ht="29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ht="29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ht="29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ht="29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ht="29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ht="29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ht="29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ht="29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ht="29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ht="29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ht="29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ht="29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ht="29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ht="29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ht="29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ht="29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ht="29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ht="29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ht="29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ht="29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ht="29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ht="29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ht="29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ht="29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ht="29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ht="29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ht="29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ht="29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ht="29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ht="29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ht="29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ht="29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ht="29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ht="29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ht="29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ht="29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ht="29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ht="29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ht="29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ht="29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ht="29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ht="29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ht="29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ht="29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ht="29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ht="29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ht="29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ht="29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ht="29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ht="29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ht="29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ht="29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ht="29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ht="29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ht="29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ht="29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ht="29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ht="29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ht="29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ht="29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ht="29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ht="29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ht="29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ht="29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ht="29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ht="29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ht="29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ht="29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ht="29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ht="29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ht="29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ht="29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ht="29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ht="29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ht="29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ht="29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ht="29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ht="29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ht="29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ht="29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ht="29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ht="29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ht="29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ht="29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ht="29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ht="29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ht="29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ht="29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ht="29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ht="29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ht="29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ht="29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ht="29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ht="29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ht="29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ht="29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ht="29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ht="29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ht="29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ht="29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ht="29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ht="29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ht="29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ht="29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ht="29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ht="29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ht="29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ht="29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ht="29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ht="29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ht="29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ht="29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ht="29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ht="29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ht="29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ht="29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ht="29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ht="29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ht="29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ht="29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ht="29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ht="29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ht="29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ht="29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ht="29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ht="29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ht="29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ht="29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ht="29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ht="29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ht="29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ht="29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ht="29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ht="29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ht="29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ht="29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ht="29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ht="29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ht="29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ht="29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ht="29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ht="29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ht="29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ht="29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ht="29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ht="29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ht="29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ht="29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ht="29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ht="29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ht="29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ht="29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ht="29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ht="29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ht="29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ht="29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ht="29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ht="29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ht="29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ht="29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ht="29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ht="29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ht="29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ht="29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ht="29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ht="29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ht="29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ht="29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ht="29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ht="29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ht="29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ht="29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ht="29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ht="29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ht="29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ht="29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ht="29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ht="29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ht="29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ht="29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ht="29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ht="29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ht="29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ht="29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ht="29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ht="29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ht="29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ht="29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ht="29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ht="29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ht="29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ht="29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ht="29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ht="29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ht="29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ht="29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ht="29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ht="29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ht="29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ht="29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ht="29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ht="29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ht="29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ht="29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ht="29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ht="29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ht="29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ht="29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ht="29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ht="29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ht="29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ht="29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ht="29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ht="29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ht="29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ht="29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ht="29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ht="29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ht="29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ht="29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ht="29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ht="29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ht="29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ht="29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ht="29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ht="29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ht="29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ht="29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ht="29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ht="29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ht="29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ht="29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ht="29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ht="29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ht="29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ht="29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ht="29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ht="29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ht="29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ht="29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ht="29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ht="29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ht="29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ht="29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ht="29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ht="29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ht="29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ht="29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ht="29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ht="29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ht="29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ht="29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ht="29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ht="29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ht="29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ht="29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ht="29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ht="29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ht="29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ht="29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ht="29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ht="29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ht="29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ht="29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ht="29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ht="29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ht="29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ht="29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ht="29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ht="29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ht="29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ht="29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ht="29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ht="29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ht="29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ht="29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ht="29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ht="29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ht="29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ht="29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ht="29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ht="29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ht="29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ht="29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ht="29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ht="29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ht="29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ht="29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ht="29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ht="29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ht="29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ht="29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ht="29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ht="29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ht="29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ht="29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ht="29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ht="29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ht="29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ht="29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ht="29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ht="29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ht="29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ht="29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ht="29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ht="29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ht="29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ht="29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ht="29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ht="29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ht="29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ht="29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ht="29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ht="29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ht="29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ht="29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ht="29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ht="29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ht="29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ht="29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ht="29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ht="29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ht="29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ht="29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ht="29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ht="29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ht="29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ht="29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ht="29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ht="29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ht="29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ht="29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ht="29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ht="29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ht="29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ht="29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ht="29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ht="29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ht="29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ht="29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ht="29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ht="29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ht="29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ht="29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ht="29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ht="29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ht="29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ht="29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ht="29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ht="29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ht="29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ht="29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ht="29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ht="29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ht="29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ht="29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ht="29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ht="29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ht="29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ht="29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ht="29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ht="29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ht="29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ht="29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ht="29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ht="29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ht="29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ht="29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ht="29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ht="29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ht="29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ht="29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ht="29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ht="29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ht="29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ht="29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ht="29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ht="29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ht="29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ht="29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ht="29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ht="29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ht="29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ht="29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ht="29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ht="29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ht="29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ht="29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ht="29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ht="29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ht="29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ht="29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ht="29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ht="29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ht="29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ht="29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ht="29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ht="29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ht="29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ht="29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ht="29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ht="29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ht="29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ht="29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ht="29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ht="29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ht="29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ht="29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ht="29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ht="29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ht="29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ht="29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ht="29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ht="29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ht="29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ht="29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ht="29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ht="29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ht="29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ht="29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ht="29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ht="29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ht="29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ht="29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ht="29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ht="29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ht="29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ht="29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ht="29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ht="29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ht="29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ht="29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ht="29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ht="29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ht="29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ht="29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ht="29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ht="29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ht="29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ht="29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ht="29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ht="29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ht="29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ht="29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ht="29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ht="29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ht="29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ht="29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ht="29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ht="29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ht="29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ht="29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ht="29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ht="29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ht="29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ht="29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ht="29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ht="29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ht="29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ht="29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ht="29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ht="29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ht="29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ht="29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ht="29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ht="29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ht="29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ht="29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ht="29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ht="29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ht="29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ht="29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ht="29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ht="29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ht="29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ht="29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ht="29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ht="29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ht="29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ht="29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ht="29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ht="29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ht="29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ht="29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ht="29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ht="29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ht="29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ht="29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ht="29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ht="29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ht="29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ht="29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ht="29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ht="29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ht="29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ht="29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ht="29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ht="29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ht="29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ht="29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ht="29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ht="29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ht="29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ht="29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ht="29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ht="29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ht="29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ht="29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ht="29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ht="29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ht="29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ht="29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ht="29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ht="29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ht="29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ht="29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ht="29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ht="29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ht="29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ht="29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ht="29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ht="29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ht="29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ht="29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ht="29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ht="29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ht="29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ht="29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ht="29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ht="29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ht="29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ht="29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ht="29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ht="29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ht="29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ht="29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ht="29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ht="29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ht="29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ht="29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ht="29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ht="29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ht="29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ht="29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ht="29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ht="29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ht="29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ht="29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ht="29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ht="29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ht="29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ht="29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ht="29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ht="29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ht="29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ht="29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ht="29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ht="29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ht="29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ht="29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ht="29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ht="29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ht="29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ht="29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ht="29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ht="29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ht="29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ht="29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ht="29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ht="29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ht="29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ht="29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ht="29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ht="29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ht="29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ht="29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ht="29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ht="29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ht="29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ht="29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ht="29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ht="29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ht="29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ht="29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ht="29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ht="29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ht="29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ht="29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ht="29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ht="29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ht="29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ht="29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ht="29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ht="29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ht="29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ht="29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ht="29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ht="29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ht="29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ht="29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ht="29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ht="29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ht="29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ht="29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ht="29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ht="29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ht="29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ht="29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ht="29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ht="29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ht="29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ht="29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ht="29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ht="29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ht="29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ht="29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ht="29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ht="29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ht="29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ht="29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ht="29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ht="29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</sheetData>
  <mergeCells count="7">
    <mergeCell ref="B2:B3"/>
    <mergeCell ref="C2:F2"/>
    <mergeCell ref="G2:L2"/>
    <mergeCell ref="N2:N3"/>
    <mergeCell ref="O2:O3"/>
    <mergeCell ref="P2:P3"/>
    <mergeCell ref="R2:R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3" width="21.5"/>
    <col customWidth="1" min="4" max="4" width="5.38"/>
    <col customWidth="1" min="5" max="6" width="21.5"/>
    <col customWidth="1" min="7" max="7" width="4.38"/>
    <col customWidth="1" min="8" max="29" width="21.5"/>
  </cols>
  <sheetData>
    <row r="1" ht="18.75" customHeight="1"/>
    <row r="2" ht="31.5" customHeight="1">
      <c r="B2" s="51" t="s">
        <v>28</v>
      </c>
      <c r="C2" s="52"/>
      <c r="D2" s="53"/>
      <c r="E2" s="54" t="s">
        <v>29</v>
      </c>
      <c r="F2" s="52"/>
      <c r="G2" s="53"/>
      <c r="H2" s="55" t="s">
        <v>30</v>
      </c>
      <c r="I2" s="53"/>
      <c r="J2" s="53"/>
      <c r="M2" s="53"/>
      <c r="N2" s="53"/>
      <c r="O2" s="53"/>
      <c r="P2" s="2"/>
    </row>
    <row r="3" ht="32.25" customHeight="1">
      <c r="B3" s="56" t="s">
        <v>31</v>
      </c>
      <c r="C3" s="57" t="s">
        <v>32</v>
      </c>
      <c r="D3" s="53"/>
      <c r="E3" s="58" t="s">
        <v>31</v>
      </c>
      <c r="F3" s="59" t="s">
        <v>32</v>
      </c>
      <c r="G3" s="53"/>
      <c r="H3" s="60">
        <f>C7-F9</f>
        <v>-11897.3</v>
      </c>
      <c r="I3" s="61">
        <v>46309.0</v>
      </c>
      <c r="J3" s="62"/>
      <c r="M3" s="62"/>
      <c r="N3" s="62"/>
      <c r="O3" s="62"/>
      <c r="P3" s="2"/>
    </row>
    <row r="4" ht="45.0" customHeight="1">
      <c r="B4" s="63" t="s">
        <v>33</v>
      </c>
      <c r="C4" s="64">
        <v>4934.26</v>
      </c>
      <c r="D4" s="65"/>
      <c r="E4" s="66" t="s">
        <v>34</v>
      </c>
      <c r="F4" s="67">
        <f>C16</f>
        <v>17691.56</v>
      </c>
      <c r="G4" s="62"/>
      <c r="H4" s="68"/>
      <c r="J4" s="62"/>
      <c r="M4" s="62"/>
      <c r="N4" s="62"/>
      <c r="O4" s="62"/>
      <c r="P4" s="2"/>
      <c r="Q4" s="2"/>
    </row>
    <row r="5" ht="45.0" customHeight="1">
      <c r="B5" s="63" t="s">
        <v>35</v>
      </c>
      <c r="C5" s="64">
        <v>0.0</v>
      </c>
      <c r="D5" s="65"/>
      <c r="E5" s="66"/>
      <c r="F5" s="67">
        <v>0.0</v>
      </c>
      <c r="G5" s="62"/>
      <c r="J5" s="62"/>
      <c r="K5" s="2"/>
      <c r="L5" s="62"/>
      <c r="M5" s="62"/>
      <c r="N5" s="62"/>
      <c r="O5" s="62"/>
      <c r="P5" s="2"/>
      <c r="Q5" s="2"/>
    </row>
    <row r="6" ht="45.0" customHeight="1">
      <c r="B6" s="63" t="s">
        <v>36</v>
      </c>
      <c r="C6" s="64">
        <v>860.0</v>
      </c>
      <c r="D6" s="65"/>
      <c r="E6" s="66"/>
      <c r="F6" s="67">
        <v>0.0</v>
      </c>
      <c r="G6" s="62"/>
      <c r="J6" s="62"/>
      <c r="K6" s="2"/>
      <c r="L6" s="62"/>
      <c r="M6" s="62"/>
      <c r="N6" s="62"/>
      <c r="O6" s="62"/>
      <c r="P6" s="2"/>
      <c r="Q6" s="2"/>
    </row>
    <row r="7" ht="45.0" customHeight="1">
      <c r="B7" s="69" t="s">
        <v>37</v>
      </c>
      <c r="C7" s="70">
        <f>SUM(C4:C6)</f>
        <v>5794.26</v>
      </c>
      <c r="D7" s="65"/>
      <c r="E7" s="66"/>
      <c r="F7" s="67">
        <v>0.0</v>
      </c>
      <c r="G7" s="71"/>
      <c r="J7" s="62"/>
      <c r="K7" s="2"/>
      <c r="L7" s="62"/>
      <c r="M7" s="62"/>
      <c r="N7" s="62"/>
      <c r="O7" s="62"/>
      <c r="P7" s="2"/>
      <c r="Q7" s="2"/>
    </row>
    <row r="8" ht="45.0" customHeight="1">
      <c r="E8" s="66"/>
      <c r="F8" s="67">
        <v>0.0</v>
      </c>
      <c r="G8" s="72"/>
      <c r="J8" s="62"/>
      <c r="K8" s="1"/>
      <c r="L8" s="62"/>
      <c r="M8" s="62"/>
      <c r="N8" s="62"/>
      <c r="O8" s="62"/>
      <c r="P8" s="2"/>
      <c r="Q8" s="2"/>
    </row>
    <row r="9" ht="48.0" customHeight="1">
      <c r="B9" s="53"/>
      <c r="C9" s="53"/>
      <c r="D9" s="53"/>
      <c r="E9" s="73" t="s">
        <v>38</v>
      </c>
      <c r="F9" s="74">
        <f>SUM(F4:F8)</f>
        <v>17691.56</v>
      </c>
      <c r="G9" s="75"/>
      <c r="J9" s="76"/>
      <c r="K9" s="53"/>
      <c r="L9" s="62"/>
      <c r="M9" s="76"/>
      <c r="N9" s="76"/>
      <c r="O9" s="76"/>
      <c r="P9" s="2"/>
      <c r="Q9" s="2"/>
    </row>
    <row r="10" ht="45.0" customHeight="1">
      <c r="D10" s="53"/>
      <c r="E10" s="75"/>
      <c r="F10" s="75"/>
      <c r="G10" s="75"/>
      <c r="H10" s="53"/>
      <c r="I10" s="62"/>
      <c r="J10" s="76"/>
      <c r="K10" s="1"/>
      <c r="L10" s="2"/>
      <c r="M10" s="76"/>
      <c r="N10" s="76"/>
      <c r="O10" s="76"/>
      <c r="P10" s="2"/>
      <c r="Q10" s="2"/>
    </row>
    <row r="11" ht="45.0" customHeight="1">
      <c r="B11" s="54" t="s">
        <v>39</v>
      </c>
      <c r="C11" s="52"/>
      <c r="D11" s="1"/>
      <c r="E11" s="54" t="s">
        <v>40</v>
      </c>
      <c r="F11" s="52"/>
      <c r="G11" s="75"/>
      <c r="H11" s="53"/>
      <c r="I11" s="62"/>
      <c r="J11" s="76"/>
      <c r="K11" s="1"/>
      <c r="L11" s="2"/>
      <c r="M11" s="76"/>
      <c r="N11" s="76"/>
      <c r="O11" s="76"/>
      <c r="P11" s="2"/>
      <c r="Q11" s="2"/>
    </row>
    <row r="12" ht="40.5" customHeight="1">
      <c r="B12" s="58" t="s">
        <v>41</v>
      </c>
      <c r="C12" s="59" t="s">
        <v>32</v>
      </c>
      <c r="D12" s="1"/>
      <c r="E12" s="77" t="s">
        <v>42</v>
      </c>
      <c r="F12" s="78"/>
      <c r="G12" s="75"/>
      <c r="H12" s="53"/>
      <c r="I12" s="62"/>
      <c r="J12" s="76"/>
      <c r="K12" s="1"/>
      <c r="L12" s="2"/>
      <c r="M12" s="76"/>
      <c r="N12" s="76"/>
      <c r="O12" s="76"/>
      <c r="P12" s="2"/>
      <c r="Q12" s="2"/>
    </row>
    <row r="13" ht="45.0" customHeight="1">
      <c r="B13" s="66" t="s">
        <v>43</v>
      </c>
      <c r="C13" s="67">
        <v>481.52</v>
      </c>
      <c r="D13" s="53"/>
      <c r="E13" s="79" t="s">
        <v>44</v>
      </c>
      <c r="F13" s="80"/>
      <c r="K13" s="1"/>
      <c r="L13" s="2"/>
    </row>
    <row r="14" ht="45.0" customHeight="1">
      <c r="B14" s="66" t="s">
        <v>45</v>
      </c>
      <c r="C14" s="67">
        <v>1248.2</v>
      </c>
      <c r="E14" s="81" t="s">
        <v>46</v>
      </c>
      <c r="F14" s="82">
        <f>SUM(F12:F13)</f>
        <v>0</v>
      </c>
    </row>
    <row r="15" ht="45.0" customHeight="1">
      <c r="B15" s="66" t="s">
        <v>47</v>
      </c>
      <c r="C15" s="67">
        <v>15961.84</v>
      </c>
    </row>
    <row r="16" ht="45.0" customHeight="1">
      <c r="B16" s="73" t="s">
        <v>7</v>
      </c>
      <c r="C16" s="74">
        <f>SUM(C13:C15)</f>
        <v>17691.56</v>
      </c>
      <c r="D16" s="53"/>
    </row>
    <row r="17" ht="45.0" customHeight="1">
      <c r="B17" s="53"/>
      <c r="C17" s="53"/>
      <c r="D17" s="53"/>
    </row>
    <row r="18" ht="45.0" customHeight="1">
      <c r="B18" s="53"/>
      <c r="C18" s="62"/>
      <c r="D18" s="62"/>
    </row>
    <row r="19" ht="45.0" customHeight="1">
      <c r="B19" s="53"/>
      <c r="C19" s="62"/>
      <c r="D19" s="62"/>
    </row>
    <row r="20" ht="45.0" customHeight="1">
      <c r="B20" s="53"/>
      <c r="C20" s="62"/>
      <c r="D20" s="62"/>
    </row>
    <row r="21" ht="45.0" customHeight="1">
      <c r="B21" s="1"/>
      <c r="C21" s="71"/>
      <c r="D21" s="71"/>
    </row>
    <row r="22" ht="45.0" customHeight="1"/>
    <row r="23" ht="45.0" customHeight="1">
      <c r="C23" s="83"/>
    </row>
    <row r="24" ht="45.0" customHeight="1"/>
    <row r="25" ht="45.0" customHeight="1"/>
    <row r="26" ht="45.0" customHeight="1"/>
    <row r="27" ht="45.0" customHeight="1"/>
    <row r="28" ht="45.0" customHeight="1"/>
    <row r="29" ht="45.0" customHeight="1"/>
    <row r="30" ht="45.0" customHeight="1"/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  <row r="51" ht="45.0" customHeight="1"/>
    <row r="52" ht="45.0" customHeight="1"/>
    <row r="53" ht="45.0" customHeight="1"/>
    <row r="54" ht="45.0" customHeight="1"/>
    <row r="55" ht="45.0" customHeight="1"/>
    <row r="56" ht="45.0" customHeight="1"/>
    <row r="57" ht="45.0" customHeight="1"/>
    <row r="58" ht="45.0" customHeight="1"/>
    <row r="59" ht="45.0" customHeight="1"/>
    <row r="60" ht="45.0" customHeight="1"/>
    <row r="61" ht="45.0" customHeight="1"/>
    <row r="62" ht="45.0" customHeight="1"/>
    <row r="63" ht="45.0" customHeight="1"/>
    <row r="64" ht="45.0" customHeight="1"/>
    <row r="65" ht="45.0" customHeight="1"/>
    <row r="66" ht="45.0" customHeight="1"/>
    <row r="67" ht="45.0" customHeight="1"/>
    <row r="68" ht="45.0" customHeight="1"/>
    <row r="69" ht="45.0" customHeight="1"/>
    <row r="70" ht="45.0" customHeight="1"/>
    <row r="71" ht="45.0" customHeight="1"/>
    <row r="72" ht="45.0" customHeight="1"/>
    <row r="73" ht="45.0" customHeight="1"/>
    <row r="74" ht="45.0" customHeight="1"/>
    <row r="75" ht="45.0" customHeight="1"/>
    <row r="76" ht="45.0" customHeight="1"/>
    <row r="77" ht="45.0" customHeight="1"/>
    <row r="78" ht="45.0" customHeight="1"/>
    <row r="79" ht="45.0" customHeight="1"/>
    <row r="80" ht="45.0" customHeight="1"/>
    <row r="81" ht="45.0" customHeight="1"/>
    <row r="82" ht="45.0" customHeight="1"/>
    <row r="83" ht="45.0" customHeight="1"/>
    <row r="84" ht="45.0" customHeight="1"/>
    <row r="85" ht="45.0" customHeight="1"/>
    <row r="86" ht="45.0" customHeight="1"/>
    <row r="87" ht="45.0" customHeight="1"/>
    <row r="88" ht="45.0" customHeight="1"/>
    <row r="89" ht="45.0" customHeight="1"/>
    <row r="90" ht="45.0" customHeight="1"/>
    <row r="91" ht="45.0" customHeight="1"/>
    <row r="92" ht="45.0" customHeight="1"/>
    <row r="93" ht="45.0" customHeight="1"/>
    <row r="94" ht="45.0" customHeight="1"/>
    <row r="95" ht="45.0" customHeight="1"/>
    <row r="96" ht="45.0" customHeight="1"/>
    <row r="97" ht="45.0" customHeight="1"/>
    <row r="98" ht="45.0" customHeight="1"/>
    <row r="99" ht="45.0" customHeight="1"/>
    <row r="100" ht="45.0" customHeight="1"/>
    <row r="101" ht="45.0" customHeight="1"/>
    <row r="102" ht="45.0" customHeight="1"/>
    <row r="103" ht="45.0" customHeight="1"/>
    <row r="104" ht="45.0" customHeight="1"/>
    <row r="105" ht="45.0" customHeight="1"/>
    <row r="106" ht="45.0" customHeight="1"/>
    <row r="107" ht="45.0" customHeight="1"/>
    <row r="108" ht="45.0" customHeight="1"/>
    <row r="109" ht="45.0" customHeight="1"/>
    <row r="110" ht="45.0" customHeight="1"/>
    <row r="111" ht="45.0" customHeight="1"/>
    <row r="112" ht="45.0" customHeight="1"/>
    <row r="113" ht="45.0" customHeight="1"/>
    <row r="114" ht="45.0" customHeight="1"/>
    <row r="115" ht="45.0" customHeight="1"/>
    <row r="116" ht="45.0" customHeight="1"/>
    <row r="117" ht="45.0" customHeight="1"/>
    <row r="118" ht="45.0" customHeight="1"/>
    <row r="119" ht="45.0" customHeight="1"/>
    <row r="120" ht="45.0" customHeight="1"/>
    <row r="121" ht="45.0" customHeight="1"/>
    <row r="122" ht="45.0" customHeight="1"/>
    <row r="123" ht="45.0" customHeight="1"/>
    <row r="124" ht="45.0" customHeight="1"/>
    <row r="125" ht="45.0" customHeight="1"/>
    <row r="126" ht="45.0" customHeight="1"/>
    <row r="127" ht="45.0" customHeight="1"/>
    <row r="128" ht="45.0" customHeight="1"/>
    <row r="129" ht="45.0" customHeight="1"/>
    <row r="130" ht="45.0" customHeight="1"/>
    <row r="131" ht="45.0" customHeight="1"/>
    <row r="132" ht="45.0" customHeight="1"/>
    <row r="133" ht="45.0" customHeight="1"/>
    <row r="134" ht="45.0" customHeight="1"/>
    <row r="135" ht="45.0" customHeight="1"/>
    <row r="136" ht="45.0" customHeight="1"/>
    <row r="137" ht="45.0" customHeight="1"/>
    <row r="138" ht="45.0" customHeight="1"/>
    <row r="139" ht="45.0" customHeight="1"/>
    <row r="140" ht="45.0" customHeight="1"/>
    <row r="141" ht="45.0" customHeight="1"/>
    <row r="142" ht="45.0" customHeight="1"/>
    <row r="143" ht="45.0" customHeight="1"/>
    <row r="144" ht="45.0" customHeight="1"/>
    <row r="145" ht="45.0" customHeight="1"/>
    <row r="146" ht="45.0" customHeight="1"/>
    <row r="147" ht="45.0" customHeight="1"/>
    <row r="148" ht="45.0" customHeight="1"/>
    <row r="149" ht="45.0" customHeight="1"/>
    <row r="150" ht="45.0" customHeight="1"/>
    <row r="151" ht="45.0" customHeight="1"/>
    <row r="152" ht="45.0" customHeight="1"/>
    <row r="153" ht="45.0" customHeight="1"/>
    <row r="154" ht="45.0" customHeight="1"/>
    <row r="155" ht="45.0" customHeight="1"/>
    <row r="156" ht="45.0" customHeight="1"/>
    <row r="157" ht="45.0" customHeight="1"/>
    <row r="158" ht="45.0" customHeight="1"/>
    <row r="159" ht="45.0" customHeight="1"/>
    <row r="160" ht="45.0" customHeight="1"/>
    <row r="161" ht="45.0" customHeight="1"/>
    <row r="162" ht="45.0" customHeight="1"/>
    <row r="163" ht="45.0" customHeight="1"/>
    <row r="164" ht="45.0" customHeight="1"/>
    <row r="165" ht="45.0" customHeight="1"/>
    <row r="166" ht="45.0" customHeight="1"/>
    <row r="167" ht="45.0" customHeight="1"/>
    <row r="168" ht="45.0" customHeight="1"/>
    <row r="169" ht="45.0" customHeight="1"/>
    <row r="170" ht="45.0" customHeight="1"/>
    <row r="171" ht="45.0" customHeight="1"/>
    <row r="172" ht="45.0" customHeight="1"/>
    <row r="173" ht="45.0" customHeight="1"/>
    <row r="174" ht="45.0" customHeight="1"/>
    <row r="175" ht="45.0" customHeight="1"/>
    <row r="176" ht="45.0" customHeight="1"/>
    <row r="177" ht="45.0" customHeight="1"/>
    <row r="178" ht="45.0" customHeight="1"/>
    <row r="179" ht="45.0" customHeight="1"/>
    <row r="180" ht="45.0" customHeight="1"/>
    <row r="181" ht="45.0" customHeight="1"/>
    <row r="182" ht="45.0" customHeight="1"/>
    <row r="183" ht="45.0" customHeight="1"/>
    <row r="184" ht="45.0" customHeight="1"/>
    <row r="185" ht="45.0" customHeight="1"/>
    <row r="186" ht="45.0" customHeight="1"/>
    <row r="187" ht="45.0" customHeight="1"/>
    <row r="188" ht="45.0" customHeight="1"/>
    <row r="189" ht="45.0" customHeight="1"/>
    <row r="190" ht="45.0" customHeight="1"/>
    <row r="191" ht="45.0" customHeight="1"/>
    <row r="192" ht="45.0" customHeight="1"/>
    <row r="193" ht="45.0" customHeight="1"/>
    <row r="194" ht="45.0" customHeight="1"/>
    <row r="195" ht="45.0" customHeight="1"/>
    <row r="196" ht="45.0" customHeight="1"/>
    <row r="197" ht="45.0" customHeight="1"/>
    <row r="198" ht="45.0" customHeight="1"/>
    <row r="199" ht="45.0" customHeight="1"/>
    <row r="200" ht="45.0" customHeight="1"/>
    <row r="201" ht="45.0" customHeight="1"/>
    <row r="202" ht="45.0" customHeight="1"/>
    <row r="203" ht="45.0" customHeight="1"/>
    <row r="204" ht="45.0" customHeight="1"/>
    <row r="205" ht="45.0" customHeight="1"/>
    <row r="206" ht="45.0" customHeight="1"/>
    <row r="207" ht="45.0" customHeight="1"/>
    <row r="208" ht="45.0" customHeight="1"/>
    <row r="209" ht="45.0" customHeight="1"/>
    <row r="210" ht="45.0" customHeight="1"/>
    <row r="211" ht="45.0" customHeight="1"/>
    <row r="212" ht="45.0" customHeight="1"/>
    <row r="213" ht="45.0" customHeight="1"/>
    <row r="214" ht="45.0" customHeight="1"/>
    <row r="215" ht="45.0" customHeight="1"/>
    <row r="216" ht="45.0" customHeight="1"/>
    <row r="217" ht="45.0" customHeight="1"/>
    <row r="218" ht="45.0" customHeight="1"/>
    <row r="219" ht="45.0" customHeight="1"/>
    <row r="220" ht="45.0" customHeight="1"/>
    <row r="221" ht="45.0" customHeight="1"/>
    <row r="222" ht="45.0" customHeight="1"/>
    <row r="223" ht="45.0" customHeight="1"/>
    <row r="224" ht="45.0" customHeight="1"/>
    <row r="225" ht="45.0" customHeight="1"/>
    <row r="226" ht="45.0" customHeight="1"/>
    <row r="227" ht="45.0" customHeight="1"/>
    <row r="228" ht="45.0" customHeight="1"/>
    <row r="229" ht="45.0" customHeight="1"/>
    <row r="230" ht="45.0" customHeight="1"/>
    <row r="231" ht="45.0" customHeight="1"/>
    <row r="232" ht="45.0" customHeight="1"/>
    <row r="233" ht="45.0" customHeight="1"/>
    <row r="234" ht="45.0" customHeight="1"/>
    <row r="235" ht="45.0" customHeight="1"/>
    <row r="236" ht="45.0" customHeight="1"/>
    <row r="237" ht="45.0" customHeight="1"/>
    <row r="238" ht="45.0" customHeight="1"/>
    <row r="239" ht="45.0" customHeight="1"/>
    <row r="240" ht="45.0" customHeight="1"/>
    <row r="241" ht="45.0" customHeight="1"/>
    <row r="242" ht="45.0" customHeight="1"/>
    <row r="243" ht="45.0" customHeight="1"/>
    <row r="244" ht="45.0" customHeight="1"/>
    <row r="245" ht="45.0" customHeight="1"/>
    <row r="246" ht="45.0" customHeight="1"/>
    <row r="247" ht="45.0" customHeight="1"/>
    <row r="248" ht="45.0" customHeight="1"/>
    <row r="249" ht="45.0" customHeight="1"/>
    <row r="250" ht="45.0" customHeight="1"/>
    <row r="251" ht="45.0" customHeight="1"/>
    <row r="252" ht="45.0" customHeight="1"/>
    <row r="253" ht="45.0" customHeight="1"/>
    <row r="254" ht="45.0" customHeight="1"/>
    <row r="255" ht="45.0" customHeight="1"/>
    <row r="256" ht="45.0" customHeight="1"/>
    <row r="257" ht="45.0" customHeight="1"/>
    <row r="258" ht="45.0" customHeight="1"/>
    <row r="259" ht="45.0" customHeight="1"/>
    <row r="260" ht="45.0" customHeight="1"/>
    <row r="261" ht="45.0" customHeight="1"/>
    <row r="262" ht="45.0" customHeight="1"/>
    <row r="263" ht="45.0" customHeight="1"/>
    <row r="264" ht="45.0" customHeight="1"/>
    <row r="265" ht="45.0" customHeight="1"/>
    <row r="266" ht="45.0" customHeight="1"/>
    <row r="267" ht="45.0" customHeight="1"/>
    <row r="268" ht="45.0" customHeight="1"/>
    <row r="269" ht="45.0" customHeight="1"/>
    <row r="270" ht="45.0" customHeight="1"/>
    <row r="271" ht="45.0" customHeight="1"/>
    <row r="272" ht="45.0" customHeight="1"/>
    <row r="273" ht="45.0" customHeight="1"/>
    <row r="274" ht="45.0" customHeight="1"/>
    <row r="275" ht="45.0" customHeight="1"/>
    <row r="276" ht="45.0" customHeight="1"/>
    <row r="277" ht="45.0" customHeight="1"/>
    <row r="278" ht="45.0" customHeight="1"/>
    <row r="279" ht="45.0" customHeight="1"/>
    <row r="280" ht="45.0" customHeight="1"/>
    <row r="281" ht="45.0" customHeight="1"/>
    <row r="282" ht="45.0" customHeight="1"/>
    <row r="283" ht="45.0" customHeight="1"/>
    <row r="284" ht="45.0" customHeight="1"/>
    <row r="285" ht="45.0" customHeight="1"/>
    <row r="286" ht="45.0" customHeight="1"/>
    <row r="287" ht="45.0" customHeight="1"/>
    <row r="288" ht="45.0" customHeight="1"/>
    <row r="289" ht="45.0" customHeight="1"/>
    <row r="290" ht="45.0" customHeight="1"/>
    <row r="291" ht="45.0" customHeight="1"/>
    <row r="292" ht="45.0" customHeight="1"/>
    <row r="293" ht="45.0" customHeight="1"/>
    <row r="294" ht="45.0" customHeight="1"/>
    <row r="295" ht="45.0" customHeight="1"/>
    <row r="296" ht="45.0" customHeight="1"/>
    <row r="297" ht="45.0" customHeight="1"/>
    <row r="298" ht="45.0" customHeight="1"/>
    <row r="299" ht="45.0" customHeight="1"/>
    <row r="300" ht="45.0" customHeight="1"/>
    <row r="301" ht="45.0" customHeight="1"/>
    <row r="302" ht="45.0" customHeight="1"/>
    <row r="303" ht="45.0" customHeight="1"/>
    <row r="304" ht="45.0" customHeight="1"/>
    <row r="305" ht="45.0" customHeight="1"/>
    <row r="306" ht="45.0" customHeight="1"/>
    <row r="307" ht="45.0" customHeight="1"/>
    <row r="308" ht="45.0" customHeight="1"/>
    <row r="309" ht="45.0" customHeight="1"/>
    <row r="310" ht="45.0" customHeight="1"/>
    <row r="311" ht="45.0" customHeight="1"/>
    <row r="312" ht="45.0" customHeight="1"/>
    <row r="313" ht="45.0" customHeight="1"/>
    <row r="314" ht="45.0" customHeight="1"/>
    <row r="315" ht="45.0" customHeight="1"/>
    <row r="316" ht="45.0" customHeight="1"/>
    <row r="317" ht="45.0" customHeight="1"/>
    <row r="318" ht="45.0" customHeight="1"/>
    <row r="319" ht="45.0" customHeight="1"/>
    <row r="320" ht="45.0" customHeight="1"/>
    <row r="321" ht="45.0" customHeight="1"/>
    <row r="322" ht="45.0" customHeight="1"/>
    <row r="323" ht="45.0" customHeight="1"/>
    <row r="324" ht="45.0" customHeight="1"/>
    <row r="325" ht="45.0" customHeight="1"/>
    <row r="326" ht="45.0" customHeight="1"/>
    <row r="327" ht="45.0" customHeight="1"/>
    <row r="328" ht="45.0" customHeight="1"/>
    <row r="329" ht="45.0" customHeight="1"/>
    <row r="330" ht="45.0" customHeight="1"/>
    <row r="331" ht="45.0" customHeight="1"/>
    <row r="332" ht="45.0" customHeight="1"/>
    <row r="333" ht="45.0" customHeight="1"/>
    <row r="334" ht="45.0" customHeight="1"/>
    <row r="335" ht="45.0" customHeight="1"/>
    <row r="336" ht="45.0" customHeight="1"/>
    <row r="337" ht="45.0" customHeight="1"/>
    <row r="338" ht="45.0" customHeight="1"/>
    <row r="339" ht="45.0" customHeight="1"/>
    <row r="340" ht="45.0" customHeight="1"/>
    <row r="341" ht="45.0" customHeight="1"/>
    <row r="342" ht="45.0" customHeight="1"/>
    <row r="343" ht="45.0" customHeight="1"/>
    <row r="344" ht="45.0" customHeight="1"/>
    <row r="345" ht="45.0" customHeight="1"/>
    <row r="346" ht="45.0" customHeight="1"/>
    <row r="347" ht="45.0" customHeight="1"/>
    <row r="348" ht="45.0" customHeight="1"/>
    <row r="349" ht="45.0" customHeight="1"/>
    <row r="350" ht="45.0" customHeight="1"/>
    <row r="351" ht="45.0" customHeight="1"/>
    <row r="352" ht="45.0" customHeight="1"/>
    <row r="353" ht="45.0" customHeight="1"/>
    <row r="354" ht="45.0" customHeight="1"/>
    <row r="355" ht="45.0" customHeight="1"/>
    <row r="356" ht="45.0" customHeight="1"/>
    <row r="357" ht="45.0" customHeight="1"/>
    <row r="358" ht="45.0" customHeight="1"/>
    <row r="359" ht="45.0" customHeight="1"/>
    <row r="360" ht="45.0" customHeight="1"/>
    <row r="361" ht="45.0" customHeight="1"/>
    <row r="362" ht="45.0" customHeight="1"/>
    <row r="363" ht="45.0" customHeight="1"/>
    <row r="364" ht="45.0" customHeight="1"/>
    <row r="365" ht="45.0" customHeight="1"/>
    <row r="366" ht="45.0" customHeight="1"/>
    <row r="367" ht="45.0" customHeight="1"/>
    <row r="368" ht="45.0" customHeight="1"/>
    <row r="369" ht="45.0" customHeight="1"/>
    <row r="370" ht="45.0" customHeight="1"/>
    <row r="371" ht="45.0" customHeight="1"/>
    <row r="372" ht="45.0" customHeight="1"/>
    <row r="373" ht="45.0" customHeight="1"/>
    <row r="374" ht="45.0" customHeight="1"/>
    <row r="375" ht="45.0" customHeight="1"/>
    <row r="376" ht="45.0" customHeight="1"/>
    <row r="377" ht="45.0" customHeight="1"/>
    <row r="378" ht="45.0" customHeight="1"/>
    <row r="379" ht="45.0" customHeight="1"/>
    <row r="380" ht="45.0" customHeight="1"/>
    <row r="381" ht="45.0" customHeight="1"/>
    <row r="382" ht="45.0" customHeight="1"/>
    <row r="383" ht="45.0" customHeight="1"/>
    <row r="384" ht="45.0" customHeight="1"/>
    <row r="385" ht="45.0" customHeight="1"/>
    <row r="386" ht="45.0" customHeight="1"/>
    <row r="387" ht="45.0" customHeight="1"/>
    <row r="388" ht="45.0" customHeight="1"/>
    <row r="389" ht="45.0" customHeight="1"/>
    <row r="390" ht="45.0" customHeight="1"/>
    <row r="391" ht="45.0" customHeight="1"/>
    <row r="392" ht="45.0" customHeight="1"/>
    <row r="393" ht="45.0" customHeight="1"/>
    <row r="394" ht="45.0" customHeight="1"/>
    <row r="395" ht="45.0" customHeight="1"/>
    <row r="396" ht="45.0" customHeight="1"/>
    <row r="397" ht="45.0" customHeight="1"/>
    <row r="398" ht="45.0" customHeight="1"/>
    <row r="399" ht="45.0" customHeight="1"/>
    <row r="400" ht="45.0" customHeight="1"/>
    <row r="401" ht="45.0" customHeight="1"/>
    <row r="402" ht="45.0" customHeight="1"/>
    <row r="403" ht="45.0" customHeight="1"/>
    <row r="404" ht="45.0" customHeight="1"/>
    <row r="405" ht="45.0" customHeight="1"/>
    <row r="406" ht="45.0" customHeight="1"/>
    <row r="407" ht="45.0" customHeight="1"/>
    <row r="408" ht="45.0" customHeight="1"/>
    <row r="409" ht="45.0" customHeight="1"/>
    <row r="410" ht="45.0" customHeight="1"/>
    <row r="411" ht="45.0" customHeight="1"/>
    <row r="412" ht="45.0" customHeight="1"/>
    <row r="413" ht="45.0" customHeight="1"/>
    <row r="414" ht="45.0" customHeight="1"/>
    <row r="415" ht="45.0" customHeight="1"/>
    <row r="416" ht="45.0" customHeight="1"/>
    <row r="417" ht="45.0" customHeight="1"/>
    <row r="418" ht="45.0" customHeight="1"/>
    <row r="419" ht="45.0" customHeight="1"/>
    <row r="420" ht="45.0" customHeight="1"/>
    <row r="421" ht="45.0" customHeight="1"/>
    <row r="422" ht="45.0" customHeight="1"/>
    <row r="423" ht="45.0" customHeight="1"/>
    <row r="424" ht="45.0" customHeight="1"/>
    <row r="425" ht="45.0" customHeight="1"/>
    <row r="426" ht="45.0" customHeight="1"/>
    <row r="427" ht="45.0" customHeight="1"/>
    <row r="428" ht="45.0" customHeight="1"/>
    <row r="429" ht="45.0" customHeight="1"/>
    <row r="430" ht="45.0" customHeight="1"/>
    <row r="431" ht="45.0" customHeight="1"/>
    <row r="432" ht="45.0" customHeight="1"/>
    <row r="433" ht="45.0" customHeight="1"/>
    <row r="434" ht="45.0" customHeight="1"/>
    <row r="435" ht="45.0" customHeight="1"/>
    <row r="436" ht="45.0" customHeight="1"/>
    <row r="437" ht="45.0" customHeight="1"/>
    <row r="438" ht="45.0" customHeight="1"/>
    <row r="439" ht="45.0" customHeight="1"/>
    <row r="440" ht="45.0" customHeight="1"/>
    <row r="441" ht="45.0" customHeight="1"/>
    <row r="442" ht="45.0" customHeight="1"/>
    <row r="443" ht="45.0" customHeight="1"/>
    <row r="444" ht="45.0" customHeight="1"/>
    <row r="445" ht="45.0" customHeight="1"/>
    <row r="446" ht="45.0" customHeight="1"/>
    <row r="447" ht="45.0" customHeight="1"/>
    <row r="448" ht="45.0" customHeight="1"/>
    <row r="449" ht="45.0" customHeight="1"/>
    <row r="450" ht="45.0" customHeight="1"/>
    <row r="451" ht="45.0" customHeight="1"/>
    <row r="452" ht="45.0" customHeight="1"/>
    <row r="453" ht="45.0" customHeight="1"/>
    <row r="454" ht="45.0" customHeight="1"/>
    <row r="455" ht="45.0" customHeight="1"/>
    <row r="456" ht="45.0" customHeight="1"/>
    <row r="457" ht="45.0" customHeight="1"/>
    <row r="458" ht="45.0" customHeight="1"/>
    <row r="459" ht="45.0" customHeight="1"/>
    <row r="460" ht="45.0" customHeight="1"/>
    <row r="461" ht="45.0" customHeight="1"/>
    <row r="462" ht="45.0" customHeight="1"/>
    <row r="463" ht="45.0" customHeight="1"/>
    <row r="464" ht="45.0" customHeight="1"/>
    <row r="465" ht="45.0" customHeight="1"/>
    <row r="466" ht="45.0" customHeight="1"/>
    <row r="467" ht="45.0" customHeight="1"/>
    <row r="468" ht="45.0" customHeight="1"/>
    <row r="469" ht="45.0" customHeight="1"/>
    <row r="470" ht="45.0" customHeight="1"/>
    <row r="471" ht="45.0" customHeight="1"/>
    <row r="472" ht="45.0" customHeight="1"/>
    <row r="473" ht="45.0" customHeight="1"/>
    <row r="474" ht="45.0" customHeight="1"/>
    <row r="475" ht="45.0" customHeight="1"/>
    <row r="476" ht="45.0" customHeight="1"/>
    <row r="477" ht="45.0" customHeight="1"/>
    <row r="478" ht="45.0" customHeight="1"/>
    <row r="479" ht="45.0" customHeight="1"/>
    <row r="480" ht="45.0" customHeight="1"/>
    <row r="481" ht="45.0" customHeight="1"/>
    <row r="482" ht="45.0" customHeight="1"/>
    <row r="483" ht="45.0" customHeight="1"/>
    <row r="484" ht="45.0" customHeight="1"/>
    <row r="485" ht="45.0" customHeight="1"/>
    <row r="486" ht="45.0" customHeight="1"/>
    <row r="487" ht="45.0" customHeight="1"/>
    <row r="488" ht="45.0" customHeight="1"/>
    <row r="489" ht="45.0" customHeight="1"/>
    <row r="490" ht="45.0" customHeight="1"/>
    <row r="491" ht="45.0" customHeight="1"/>
    <row r="492" ht="45.0" customHeight="1"/>
    <row r="493" ht="45.0" customHeight="1"/>
    <row r="494" ht="45.0" customHeight="1"/>
    <row r="495" ht="45.0" customHeight="1"/>
    <row r="496" ht="45.0" customHeight="1"/>
    <row r="497" ht="45.0" customHeight="1"/>
    <row r="498" ht="45.0" customHeight="1"/>
    <row r="499" ht="45.0" customHeight="1"/>
    <row r="500" ht="45.0" customHeight="1"/>
    <row r="501" ht="45.0" customHeight="1"/>
    <row r="502" ht="45.0" customHeight="1"/>
    <row r="503" ht="45.0" customHeight="1"/>
    <row r="504" ht="45.0" customHeight="1"/>
    <row r="505" ht="45.0" customHeight="1"/>
    <row r="506" ht="45.0" customHeight="1"/>
    <row r="507" ht="45.0" customHeight="1"/>
    <row r="508" ht="45.0" customHeight="1"/>
    <row r="509" ht="45.0" customHeight="1"/>
    <row r="510" ht="45.0" customHeight="1"/>
    <row r="511" ht="45.0" customHeight="1"/>
    <row r="512" ht="45.0" customHeight="1"/>
    <row r="513" ht="45.0" customHeight="1"/>
    <row r="514" ht="45.0" customHeight="1"/>
    <row r="515" ht="45.0" customHeight="1"/>
    <row r="516" ht="45.0" customHeight="1"/>
    <row r="517" ht="45.0" customHeight="1"/>
    <row r="518" ht="45.0" customHeight="1"/>
    <row r="519" ht="45.0" customHeight="1"/>
    <row r="520" ht="45.0" customHeight="1"/>
    <row r="521" ht="45.0" customHeight="1"/>
    <row r="522" ht="45.0" customHeight="1"/>
    <row r="523" ht="45.0" customHeight="1"/>
    <row r="524" ht="45.0" customHeight="1"/>
    <row r="525" ht="45.0" customHeight="1"/>
    <row r="526" ht="45.0" customHeight="1"/>
    <row r="527" ht="45.0" customHeight="1"/>
    <row r="528" ht="45.0" customHeight="1"/>
    <row r="529" ht="45.0" customHeight="1"/>
    <row r="530" ht="45.0" customHeight="1"/>
    <row r="531" ht="45.0" customHeight="1"/>
    <row r="532" ht="45.0" customHeight="1"/>
    <row r="533" ht="45.0" customHeight="1"/>
    <row r="534" ht="45.0" customHeight="1"/>
    <row r="535" ht="45.0" customHeight="1"/>
    <row r="536" ht="45.0" customHeight="1"/>
    <row r="537" ht="45.0" customHeight="1"/>
    <row r="538" ht="45.0" customHeight="1"/>
    <row r="539" ht="45.0" customHeight="1"/>
    <row r="540" ht="45.0" customHeight="1"/>
    <row r="541" ht="45.0" customHeight="1"/>
    <row r="542" ht="45.0" customHeight="1"/>
    <row r="543" ht="45.0" customHeight="1"/>
    <row r="544" ht="45.0" customHeight="1"/>
    <row r="545" ht="45.0" customHeight="1"/>
    <row r="546" ht="45.0" customHeight="1"/>
    <row r="547" ht="45.0" customHeight="1"/>
    <row r="548" ht="45.0" customHeight="1"/>
    <row r="549" ht="45.0" customHeight="1"/>
    <row r="550" ht="45.0" customHeight="1"/>
    <row r="551" ht="45.0" customHeight="1"/>
    <row r="552" ht="45.0" customHeight="1"/>
    <row r="553" ht="45.0" customHeight="1"/>
    <row r="554" ht="45.0" customHeight="1"/>
    <row r="555" ht="45.0" customHeight="1"/>
    <row r="556" ht="45.0" customHeight="1"/>
    <row r="557" ht="45.0" customHeight="1"/>
    <row r="558" ht="45.0" customHeight="1"/>
    <row r="559" ht="45.0" customHeight="1"/>
    <row r="560" ht="45.0" customHeight="1"/>
    <row r="561" ht="45.0" customHeight="1"/>
    <row r="562" ht="45.0" customHeight="1"/>
    <row r="563" ht="45.0" customHeight="1"/>
    <row r="564" ht="45.0" customHeight="1"/>
    <row r="565" ht="45.0" customHeight="1"/>
    <row r="566" ht="45.0" customHeight="1"/>
    <row r="567" ht="45.0" customHeight="1"/>
    <row r="568" ht="45.0" customHeight="1"/>
    <row r="569" ht="45.0" customHeight="1"/>
    <row r="570" ht="45.0" customHeight="1"/>
    <row r="571" ht="45.0" customHeight="1"/>
    <row r="572" ht="45.0" customHeight="1"/>
    <row r="573" ht="45.0" customHeight="1"/>
    <row r="574" ht="45.0" customHeight="1"/>
    <row r="575" ht="45.0" customHeight="1"/>
    <row r="576" ht="45.0" customHeight="1"/>
    <row r="577" ht="45.0" customHeight="1"/>
    <row r="578" ht="45.0" customHeight="1"/>
    <row r="579" ht="45.0" customHeight="1"/>
    <row r="580" ht="45.0" customHeight="1"/>
    <row r="581" ht="45.0" customHeight="1"/>
    <row r="582" ht="45.0" customHeight="1"/>
    <row r="583" ht="45.0" customHeight="1"/>
    <row r="584" ht="45.0" customHeight="1"/>
    <row r="585" ht="45.0" customHeight="1"/>
    <row r="586" ht="45.0" customHeight="1"/>
    <row r="587" ht="45.0" customHeight="1"/>
    <row r="588" ht="45.0" customHeight="1"/>
    <row r="589" ht="45.0" customHeight="1"/>
    <row r="590" ht="45.0" customHeight="1"/>
    <row r="591" ht="45.0" customHeight="1"/>
    <row r="592" ht="45.0" customHeight="1"/>
    <row r="593" ht="45.0" customHeight="1"/>
    <row r="594" ht="45.0" customHeight="1"/>
    <row r="595" ht="45.0" customHeight="1"/>
    <row r="596" ht="45.0" customHeight="1"/>
    <row r="597" ht="45.0" customHeight="1"/>
    <row r="598" ht="45.0" customHeight="1"/>
    <row r="599" ht="45.0" customHeight="1"/>
    <row r="600" ht="45.0" customHeight="1"/>
    <row r="601" ht="45.0" customHeight="1"/>
    <row r="602" ht="45.0" customHeight="1"/>
    <row r="603" ht="45.0" customHeight="1"/>
    <row r="604" ht="45.0" customHeight="1"/>
    <row r="605" ht="45.0" customHeight="1"/>
    <row r="606" ht="45.0" customHeight="1"/>
    <row r="607" ht="45.0" customHeight="1"/>
    <row r="608" ht="45.0" customHeight="1"/>
    <row r="609" ht="45.0" customHeight="1"/>
    <row r="610" ht="45.0" customHeight="1"/>
    <row r="611" ht="45.0" customHeight="1"/>
    <row r="612" ht="45.0" customHeight="1"/>
    <row r="613" ht="45.0" customHeight="1"/>
    <row r="614" ht="45.0" customHeight="1"/>
    <row r="615" ht="45.0" customHeight="1"/>
    <row r="616" ht="45.0" customHeight="1"/>
    <row r="617" ht="45.0" customHeight="1"/>
    <row r="618" ht="45.0" customHeight="1"/>
    <row r="619" ht="45.0" customHeight="1"/>
    <row r="620" ht="45.0" customHeight="1"/>
    <row r="621" ht="45.0" customHeight="1"/>
    <row r="622" ht="45.0" customHeight="1"/>
    <row r="623" ht="45.0" customHeight="1"/>
    <row r="624" ht="45.0" customHeight="1"/>
    <row r="625" ht="45.0" customHeight="1"/>
    <row r="626" ht="45.0" customHeight="1"/>
    <row r="627" ht="45.0" customHeight="1"/>
    <row r="628" ht="45.0" customHeight="1"/>
    <row r="629" ht="45.0" customHeight="1"/>
    <row r="630" ht="45.0" customHeight="1"/>
    <row r="631" ht="45.0" customHeight="1"/>
    <row r="632" ht="45.0" customHeight="1"/>
    <row r="633" ht="45.0" customHeight="1"/>
    <row r="634" ht="45.0" customHeight="1"/>
    <row r="635" ht="45.0" customHeight="1"/>
    <row r="636" ht="45.0" customHeight="1"/>
    <row r="637" ht="45.0" customHeight="1"/>
    <row r="638" ht="45.0" customHeight="1"/>
    <row r="639" ht="45.0" customHeight="1"/>
    <row r="640" ht="45.0" customHeight="1"/>
    <row r="641" ht="45.0" customHeight="1"/>
    <row r="642" ht="45.0" customHeight="1"/>
    <row r="643" ht="45.0" customHeight="1"/>
    <row r="644" ht="45.0" customHeight="1"/>
    <row r="645" ht="45.0" customHeight="1"/>
    <row r="646" ht="45.0" customHeight="1"/>
    <row r="647" ht="45.0" customHeight="1"/>
    <row r="648" ht="45.0" customHeight="1"/>
    <row r="649" ht="45.0" customHeight="1"/>
    <row r="650" ht="45.0" customHeight="1"/>
    <row r="651" ht="45.0" customHeight="1"/>
    <row r="652" ht="45.0" customHeight="1"/>
    <row r="653" ht="45.0" customHeight="1"/>
    <row r="654" ht="45.0" customHeight="1"/>
    <row r="655" ht="45.0" customHeight="1"/>
    <row r="656" ht="45.0" customHeight="1"/>
    <row r="657" ht="45.0" customHeight="1"/>
    <row r="658" ht="45.0" customHeight="1"/>
    <row r="659" ht="45.0" customHeight="1"/>
    <row r="660" ht="45.0" customHeight="1"/>
    <row r="661" ht="45.0" customHeight="1"/>
    <row r="662" ht="45.0" customHeight="1"/>
    <row r="663" ht="45.0" customHeight="1"/>
    <row r="664" ht="45.0" customHeight="1"/>
    <row r="665" ht="45.0" customHeight="1"/>
    <row r="666" ht="45.0" customHeight="1"/>
    <row r="667" ht="45.0" customHeight="1"/>
    <row r="668" ht="45.0" customHeight="1"/>
    <row r="669" ht="45.0" customHeight="1"/>
    <row r="670" ht="45.0" customHeight="1"/>
    <row r="671" ht="45.0" customHeight="1"/>
    <row r="672" ht="45.0" customHeight="1"/>
    <row r="673" ht="45.0" customHeight="1"/>
    <row r="674" ht="45.0" customHeight="1"/>
    <row r="675" ht="45.0" customHeight="1"/>
    <row r="676" ht="45.0" customHeight="1"/>
    <row r="677" ht="45.0" customHeight="1"/>
    <row r="678" ht="45.0" customHeight="1"/>
    <row r="679" ht="45.0" customHeight="1"/>
    <row r="680" ht="45.0" customHeight="1"/>
    <row r="681" ht="45.0" customHeight="1"/>
    <row r="682" ht="45.0" customHeight="1"/>
    <row r="683" ht="45.0" customHeight="1"/>
    <row r="684" ht="45.0" customHeight="1"/>
    <row r="685" ht="45.0" customHeight="1"/>
    <row r="686" ht="45.0" customHeight="1"/>
    <row r="687" ht="45.0" customHeight="1"/>
    <row r="688" ht="45.0" customHeight="1"/>
    <row r="689" ht="45.0" customHeight="1"/>
    <row r="690" ht="45.0" customHeight="1"/>
    <row r="691" ht="45.0" customHeight="1"/>
    <row r="692" ht="45.0" customHeight="1"/>
    <row r="693" ht="45.0" customHeight="1"/>
    <row r="694" ht="45.0" customHeight="1"/>
    <row r="695" ht="45.0" customHeight="1"/>
    <row r="696" ht="45.0" customHeight="1"/>
    <row r="697" ht="45.0" customHeight="1"/>
    <row r="698" ht="45.0" customHeight="1"/>
    <row r="699" ht="45.0" customHeight="1"/>
    <row r="700" ht="45.0" customHeight="1"/>
    <row r="701" ht="45.0" customHeight="1"/>
    <row r="702" ht="45.0" customHeight="1"/>
    <row r="703" ht="45.0" customHeight="1"/>
    <row r="704" ht="45.0" customHeight="1"/>
    <row r="705" ht="45.0" customHeight="1"/>
    <row r="706" ht="45.0" customHeight="1"/>
    <row r="707" ht="45.0" customHeight="1"/>
    <row r="708" ht="45.0" customHeight="1"/>
    <row r="709" ht="45.0" customHeight="1"/>
    <row r="710" ht="45.0" customHeight="1"/>
    <row r="711" ht="45.0" customHeight="1"/>
    <row r="712" ht="45.0" customHeight="1"/>
    <row r="713" ht="45.0" customHeight="1"/>
    <row r="714" ht="45.0" customHeight="1"/>
    <row r="715" ht="45.0" customHeight="1"/>
    <row r="716" ht="45.0" customHeight="1"/>
    <row r="717" ht="45.0" customHeight="1"/>
    <row r="718" ht="45.0" customHeight="1"/>
    <row r="719" ht="45.0" customHeight="1"/>
    <row r="720" ht="45.0" customHeight="1"/>
    <row r="721" ht="45.0" customHeight="1"/>
    <row r="722" ht="45.0" customHeight="1"/>
    <row r="723" ht="45.0" customHeight="1"/>
    <row r="724" ht="45.0" customHeight="1"/>
    <row r="725" ht="45.0" customHeight="1"/>
    <row r="726" ht="45.0" customHeight="1"/>
    <row r="727" ht="45.0" customHeight="1"/>
    <row r="728" ht="45.0" customHeight="1"/>
    <row r="729" ht="45.0" customHeight="1"/>
    <row r="730" ht="45.0" customHeight="1"/>
    <row r="731" ht="45.0" customHeight="1"/>
    <row r="732" ht="45.0" customHeight="1"/>
    <row r="733" ht="45.0" customHeight="1"/>
    <row r="734" ht="45.0" customHeight="1"/>
    <row r="735" ht="45.0" customHeight="1"/>
    <row r="736" ht="45.0" customHeight="1"/>
    <row r="737" ht="45.0" customHeight="1"/>
    <row r="738" ht="45.0" customHeight="1"/>
    <row r="739" ht="45.0" customHeight="1"/>
    <row r="740" ht="45.0" customHeight="1"/>
    <row r="741" ht="45.0" customHeight="1"/>
    <row r="742" ht="45.0" customHeight="1"/>
    <row r="743" ht="45.0" customHeight="1"/>
    <row r="744" ht="45.0" customHeight="1"/>
    <row r="745" ht="45.0" customHeight="1"/>
    <row r="746" ht="45.0" customHeight="1"/>
    <row r="747" ht="45.0" customHeight="1"/>
    <row r="748" ht="45.0" customHeight="1"/>
    <row r="749" ht="45.0" customHeight="1"/>
    <row r="750" ht="45.0" customHeight="1"/>
    <row r="751" ht="45.0" customHeight="1"/>
    <row r="752" ht="45.0" customHeight="1"/>
    <row r="753" ht="45.0" customHeight="1"/>
    <row r="754" ht="45.0" customHeight="1"/>
    <row r="755" ht="45.0" customHeight="1"/>
    <row r="756" ht="45.0" customHeight="1"/>
    <row r="757" ht="45.0" customHeight="1"/>
    <row r="758" ht="45.0" customHeight="1"/>
    <row r="759" ht="45.0" customHeight="1"/>
    <row r="760" ht="45.0" customHeight="1"/>
    <row r="761" ht="45.0" customHeight="1"/>
    <row r="762" ht="45.0" customHeight="1"/>
    <row r="763" ht="45.0" customHeight="1"/>
    <row r="764" ht="45.0" customHeight="1"/>
    <row r="765" ht="45.0" customHeight="1"/>
    <row r="766" ht="45.0" customHeight="1"/>
    <row r="767" ht="45.0" customHeight="1"/>
    <row r="768" ht="45.0" customHeight="1"/>
    <row r="769" ht="45.0" customHeight="1"/>
    <row r="770" ht="45.0" customHeight="1"/>
    <row r="771" ht="45.0" customHeight="1"/>
    <row r="772" ht="45.0" customHeight="1"/>
    <row r="773" ht="45.0" customHeight="1"/>
    <row r="774" ht="45.0" customHeight="1"/>
    <row r="775" ht="45.0" customHeight="1"/>
    <row r="776" ht="45.0" customHeight="1"/>
    <row r="777" ht="45.0" customHeight="1"/>
    <row r="778" ht="45.0" customHeight="1"/>
    <row r="779" ht="45.0" customHeight="1"/>
    <row r="780" ht="45.0" customHeight="1"/>
    <row r="781" ht="45.0" customHeight="1"/>
    <row r="782" ht="45.0" customHeight="1"/>
    <row r="783" ht="45.0" customHeight="1"/>
    <row r="784" ht="45.0" customHeight="1"/>
    <row r="785" ht="45.0" customHeight="1"/>
    <row r="786" ht="45.0" customHeight="1"/>
    <row r="787" ht="45.0" customHeight="1"/>
    <row r="788" ht="45.0" customHeight="1"/>
    <row r="789" ht="45.0" customHeight="1"/>
    <row r="790" ht="45.0" customHeight="1"/>
    <row r="791" ht="45.0" customHeight="1"/>
    <row r="792" ht="45.0" customHeight="1"/>
    <row r="793" ht="45.0" customHeight="1"/>
    <row r="794" ht="45.0" customHeight="1"/>
    <row r="795" ht="45.0" customHeight="1"/>
    <row r="796" ht="45.0" customHeight="1"/>
    <row r="797" ht="45.0" customHeight="1"/>
    <row r="798" ht="45.0" customHeight="1"/>
    <row r="799" ht="45.0" customHeight="1"/>
    <row r="800" ht="45.0" customHeight="1"/>
    <row r="801" ht="45.0" customHeight="1"/>
    <row r="802" ht="45.0" customHeight="1"/>
    <row r="803" ht="45.0" customHeight="1"/>
    <row r="804" ht="45.0" customHeight="1"/>
    <row r="805" ht="45.0" customHeight="1"/>
    <row r="806" ht="45.0" customHeight="1"/>
    <row r="807" ht="45.0" customHeight="1"/>
    <row r="808" ht="45.0" customHeight="1"/>
    <row r="809" ht="45.0" customHeight="1"/>
    <row r="810" ht="45.0" customHeight="1"/>
    <row r="811" ht="45.0" customHeight="1"/>
    <row r="812" ht="45.0" customHeight="1"/>
    <row r="813" ht="45.0" customHeight="1"/>
    <row r="814" ht="45.0" customHeight="1"/>
    <row r="815" ht="45.0" customHeight="1"/>
    <row r="816" ht="45.0" customHeight="1"/>
    <row r="817" ht="45.0" customHeight="1"/>
    <row r="818" ht="45.0" customHeight="1"/>
    <row r="819" ht="45.0" customHeight="1"/>
    <row r="820" ht="45.0" customHeight="1"/>
    <row r="821" ht="45.0" customHeight="1"/>
    <row r="822" ht="45.0" customHeight="1"/>
    <row r="823" ht="45.0" customHeight="1"/>
    <row r="824" ht="45.0" customHeight="1"/>
    <row r="825" ht="45.0" customHeight="1"/>
    <row r="826" ht="45.0" customHeight="1"/>
    <row r="827" ht="45.0" customHeight="1"/>
    <row r="828" ht="45.0" customHeight="1"/>
    <row r="829" ht="45.0" customHeight="1"/>
    <row r="830" ht="45.0" customHeight="1"/>
    <row r="831" ht="45.0" customHeight="1"/>
    <row r="832" ht="45.0" customHeight="1"/>
    <row r="833" ht="45.0" customHeight="1"/>
    <row r="834" ht="45.0" customHeight="1"/>
    <row r="835" ht="45.0" customHeight="1"/>
    <row r="836" ht="45.0" customHeight="1"/>
    <row r="837" ht="45.0" customHeight="1"/>
    <row r="838" ht="45.0" customHeight="1"/>
    <row r="839" ht="45.0" customHeight="1"/>
    <row r="840" ht="45.0" customHeight="1"/>
    <row r="841" ht="45.0" customHeight="1"/>
    <row r="842" ht="45.0" customHeight="1"/>
    <row r="843" ht="45.0" customHeight="1"/>
    <row r="844" ht="45.0" customHeight="1"/>
    <row r="845" ht="45.0" customHeight="1"/>
    <row r="846" ht="45.0" customHeight="1"/>
    <row r="847" ht="45.0" customHeight="1"/>
    <row r="848" ht="45.0" customHeight="1"/>
    <row r="849" ht="45.0" customHeight="1"/>
    <row r="850" ht="45.0" customHeight="1"/>
    <row r="851" ht="45.0" customHeight="1"/>
    <row r="852" ht="45.0" customHeight="1"/>
    <row r="853" ht="45.0" customHeight="1"/>
    <row r="854" ht="45.0" customHeight="1"/>
    <row r="855" ht="45.0" customHeight="1"/>
    <row r="856" ht="45.0" customHeight="1"/>
    <row r="857" ht="45.0" customHeight="1"/>
    <row r="858" ht="45.0" customHeight="1"/>
    <row r="859" ht="45.0" customHeight="1"/>
    <row r="860" ht="45.0" customHeight="1"/>
    <row r="861" ht="45.0" customHeight="1"/>
    <row r="862" ht="45.0" customHeight="1"/>
    <row r="863" ht="45.0" customHeight="1"/>
    <row r="864" ht="45.0" customHeight="1"/>
    <row r="865" ht="45.0" customHeight="1"/>
    <row r="866" ht="45.0" customHeight="1"/>
    <row r="867" ht="45.0" customHeight="1"/>
    <row r="868" ht="45.0" customHeight="1"/>
    <row r="869" ht="45.0" customHeight="1"/>
    <row r="870" ht="45.0" customHeight="1"/>
    <row r="871" ht="45.0" customHeight="1"/>
    <row r="872" ht="45.0" customHeight="1"/>
    <row r="873" ht="45.0" customHeight="1"/>
    <row r="874" ht="45.0" customHeight="1"/>
    <row r="875" ht="45.0" customHeight="1"/>
    <row r="876" ht="45.0" customHeight="1"/>
    <row r="877" ht="45.0" customHeight="1"/>
    <row r="878" ht="45.0" customHeight="1"/>
    <row r="879" ht="45.0" customHeight="1"/>
    <row r="880" ht="45.0" customHeight="1"/>
    <row r="881" ht="45.0" customHeight="1"/>
    <row r="882" ht="45.0" customHeight="1"/>
    <row r="883" ht="45.0" customHeight="1"/>
    <row r="884" ht="45.0" customHeight="1"/>
    <row r="885" ht="45.0" customHeight="1"/>
    <row r="886" ht="45.0" customHeight="1"/>
    <row r="887" ht="45.0" customHeight="1"/>
    <row r="888" ht="45.0" customHeight="1"/>
    <row r="889" ht="45.0" customHeight="1"/>
    <row r="890" ht="45.0" customHeight="1"/>
    <row r="891" ht="45.0" customHeight="1"/>
    <row r="892" ht="45.0" customHeight="1"/>
    <row r="893" ht="45.0" customHeight="1"/>
    <row r="894" ht="45.0" customHeight="1"/>
    <row r="895" ht="45.0" customHeight="1"/>
    <row r="896" ht="45.0" customHeight="1"/>
    <row r="897" ht="45.0" customHeight="1"/>
    <row r="898" ht="45.0" customHeight="1"/>
    <row r="899" ht="45.0" customHeight="1"/>
    <row r="900" ht="45.0" customHeight="1"/>
    <row r="901" ht="45.0" customHeight="1"/>
    <row r="902" ht="45.0" customHeight="1"/>
    <row r="903" ht="45.0" customHeight="1"/>
    <row r="904" ht="45.0" customHeight="1"/>
    <row r="905" ht="45.0" customHeight="1"/>
    <row r="906" ht="45.0" customHeight="1"/>
    <row r="907" ht="45.0" customHeight="1"/>
    <row r="908" ht="45.0" customHeight="1"/>
    <row r="909" ht="45.0" customHeight="1"/>
    <row r="910" ht="45.0" customHeight="1"/>
    <row r="911" ht="45.0" customHeight="1"/>
    <row r="912" ht="45.0" customHeight="1"/>
    <row r="913" ht="45.0" customHeight="1"/>
    <row r="914" ht="45.0" customHeight="1"/>
    <row r="915" ht="45.0" customHeight="1"/>
    <row r="916" ht="45.0" customHeight="1"/>
    <row r="917" ht="45.0" customHeight="1"/>
    <row r="918" ht="45.0" customHeight="1"/>
    <row r="919" ht="45.0" customHeight="1"/>
    <row r="920" ht="45.0" customHeight="1"/>
    <row r="921" ht="45.0" customHeight="1"/>
    <row r="922" ht="45.0" customHeight="1"/>
    <row r="923" ht="45.0" customHeight="1"/>
    <row r="924" ht="45.0" customHeight="1"/>
    <row r="925" ht="45.0" customHeight="1"/>
    <row r="926" ht="45.0" customHeight="1"/>
    <row r="927" ht="45.0" customHeight="1"/>
    <row r="928" ht="45.0" customHeight="1"/>
    <row r="929" ht="45.0" customHeight="1"/>
    <row r="930" ht="45.0" customHeight="1"/>
    <row r="931" ht="45.0" customHeight="1"/>
    <row r="932" ht="45.0" customHeight="1"/>
    <row r="933" ht="45.0" customHeight="1"/>
    <row r="934" ht="45.0" customHeight="1"/>
    <row r="935" ht="45.0" customHeight="1"/>
    <row r="936" ht="45.0" customHeight="1"/>
    <row r="937" ht="45.0" customHeight="1"/>
    <row r="938" ht="45.0" customHeight="1"/>
    <row r="939" ht="45.0" customHeight="1"/>
    <row r="940" ht="45.0" customHeight="1"/>
    <row r="941" ht="45.0" customHeight="1"/>
    <row r="942" ht="45.0" customHeight="1"/>
    <row r="943" ht="45.0" customHeight="1"/>
    <row r="944" ht="45.0" customHeight="1"/>
    <row r="945" ht="45.0" customHeight="1"/>
    <row r="946" ht="45.0" customHeight="1"/>
    <row r="947" ht="45.0" customHeight="1"/>
    <row r="948" ht="45.0" customHeight="1"/>
    <row r="949" ht="45.0" customHeight="1"/>
    <row r="950" ht="45.0" customHeight="1"/>
    <row r="951" ht="45.0" customHeight="1"/>
    <row r="952" ht="45.0" customHeight="1"/>
    <row r="953" ht="45.0" customHeight="1"/>
    <row r="954" ht="45.0" customHeight="1"/>
    <row r="955" ht="45.0" customHeight="1"/>
    <row r="956" ht="45.0" customHeight="1"/>
    <row r="957" ht="45.0" customHeight="1"/>
    <row r="958" ht="45.0" customHeight="1"/>
    <row r="959" ht="45.0" customHeight="1"/>
    <row r="960" ht="45.0" customHeight="1"/>
    <row r="961" ht="45.0" customHeight="1"/>
    <row r="962" ht="45.0" customHeight="1"/>
    <row r="963" ht="45.0" customHeight="1"/>
    <row r="964" ht="45.0" customHeight="1"/>
    <row r="965" ht="45.0" customHeight="1"/>
    <row r="966" ht="45.0" customHeight="1"/>
    <row r="967" ht="45.0" customHeight="1"/>
    <row r="968" ht="45.0" customHeight="1"/>
    <row r="969" ht="45.0" customHeight="1"/>
    <row r="970" ht="45.0" customHeight="1"/>
    <row r="971" ht="45.0" customHeight="1"/>
    <row r="972" ht="45.0" customHeight="1"/>
    <row r="973" ht="45.0" customHeight="1"/>
    <row r="974" ht="45.0" customHeight="1"/>
    <row r="975" ht="45.0" customHeight="1"/>
    <row r="976" ht="45.0" customHeight="1"/>
    <row r="977" ht="45.0" customHeight="1"/>
    <row r="978" ht="45.0" customHeight="1"/>
    <row r="979" ht="45.0" customHeight="1"/>
    <row r="980" ht="45.0" customHeight="1"/>
    <row r="981" ht="45.0" customHeight="1"/>
    <row r="982" ht="45.0" customHeight="1"/>
    <row r="983" ht="45.0" customHeight="1"/>
    <row r="984" ht="45.0" customHeight="1"/>
    <row r="985" ht="45.0" customHeight="1"/>
    <row r="986" ht="45.0" customHeight="1"/>
    <row r="987" ht="45.0" customHeight="1"/>
    <row r="988" ht="45.0" customHeight="1"/>
    <row r="989" ht="45.0" customHeight="1"/>
    <row r="990" ht="45.0" customHeight="1"/>
    <row r="991" ht="45.0" customHeight="1"/>
    <row r="992" ht="45.0" customHeight="1"/>
    <row r="993" ht="45.0" customHeight="1"/>
    <row r="994" ht="45.0" customHeight="1"/>
    <row r="995" ht="45.0" customHeight="1"/>
    <row r="996" ht="45.0" customHeight="1"/>
    <row r="997" ht="45.0" customHeight="1"/>
    <row r="998" ht="45.0" customHeight="1"/>
    <row r="999" ht="45.0" customHeight="1"/>
    <row r="1000" ht="45.0" customHeight="1"/>
    <row r="1001" ht="45.0" customHeight="1"/>
    <row r="1002" ht="45.0" customHeight="1"/>
  </sheetData>
  <mergeCells count="6">
    <mergeCell ref="B2:C2"/>
    <mergeCell ref="E2:F2"/>
    <mergeCell ref="H3:H4"/>
    <mergeCell ref="I3:I4"/>
    <mergeCell ref="B11:C11"/>
    <mergeCell ref="E11:F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3" width="21.5"/>
    <col customWidth="1" min="4" max="4" width="5.38"/>
    <col customWidth="1" min="5" max="6" width="21.5"/>
    <col customWidth="1" min="7" max="7" width="4.38"/>
    <col customWidth="1" min="8" max="29" width="21.5"/>
  </cols>
  <sheetData>
    <row r="1" ht="18.75" customHeight="1"/>
    <row r="2" ht="31.5" customHeight="1">
      <c r="B2" s="51" t="s">
        <v>28</v>
      </c>
      <c r="C2" s="52"/>
      <c r="D2" s="53"/>
      <c r="E2" s="54" t="s">
        <v>29</v>
      </c>
      <c r="F2" s="52"/>
      <c r="G2" s="53"/>
      <c r="H2" s="55" t="s">
        <v>30</v>
      </c>
      <c r="I2" s="53"/>
      <c r="J2" s="53"/>
      <c r="M2" s="53"/>
      <c r="N2" s="53"/>
      <c r="O2" s="53"/>
      <c r="P2" s="2"/>
    </row>
    <row r="3" ht="32.25" customHeight="1">
      <c r="B3" s="56" t="s">
        <v>31</v>
      </c>
      <c r="C3" s="57" t="s">
        <v>32</v>
      </c>
      <c r="D3" s="53"/>
      <c r="E3" s="58" t="s">
        <v>31</v>
      </c>
      <c r="F3" s="59" t="s">
        <v>32</v>
      </c>
      <c r="G3" s="53"/>
      <c r="H3" s="60">
        <f>C7-F10</f>
        <v>5644.26</v>
      </c>
      <c r="I3" s="53"/>
      <c r="J3" s="62"/>
      <c r="M3" s="62"/>
      <c r="N3" s="62"/>
      <c r="O3" s="62"/>
      <c r="P3" s="2"/>
    </row>
    <row r="4" ht="45.0" customHeight="1">
      <c r="B4" s="63" t="s">
        <v>33</v>
      </c>
      <c r="C4" s="64">
        <f>69264.26</f>
        <v>69264.26</v>
      </c>
      <c r="D4" s="65"/>
      <c r="E4" s="66" t="s">
        <v>47</v>
      </c>
      <c r="F4" s="67">
        <f>40000</f>
        <v>40000</v>
      </c>
      <c r="G4" s="62"/>
      <c r="H4" s="68"/>
      <c r="J4" s="62"/>
      <c r="M4" s="62"/>
      <c r="N4" s="62"/>
      <c r="O4" s="62"/>
      <c r="P4" s="2"/>
      <c r="Q4" s="2"/>
    </row>
    <row r="5" ht="45.0" customHeight="1">
      <c r="B5" s="63" t="s">
        <v>35</v>
      </c>
      <c r="C5" s="64">
        <v>0.0</v>
      </c>
      <c r="D5" s="65"/>
      <c r="E5" s="66" t="s">
        <v>43</v>
      </c>
      <c r="F5" s="84">
        <f>148300-113680+round('2026'!K12,0)-2653</f>
        <v>3151</v>
      </c>
      <c r="G5" s="62"/>
      <c r="J5" s="62"/>
      <c r="K5" s="2"/>
      <c r="L5" s="62"/>
      <c r="M5" s="62"/>
      <c r="N5" s="62"/>
      <c r="O5" s="62"/>
      <c r="P5" s="2"/>
      <c r="Q5" s="2"/>
    </row>
    <row r="6" ht="45.0" customHeight="1">
      <c r="B6" s="63" t="s">
        <v>36</v>
      </c>
      <c r="C6" s="64">
        <v>0.0</v>
      </c>
      <c r="D6" s="65"/>
      <c r="E6" s="66" t="s">
        <v>45</v>
      </c>
      <c r="F6" s="84">
        <v>6002.0</v>
      </c>
      <c r="G6" s="62"/>
      <c r="H6" s="54" t="s">
        <v>48</v>
      </c>
      <c r="I6" s="52"/>
      <c r="J6" s="62"/>
      <c r="K6" s="2"/>
      <c r="L6" s="62"/>
      <c r="M6" s="62"/>
      <c r="N6" s="62"/>
      <c r="O6" s="62"/>
      <c r="P6" s="2"/>
      <c r="Q6" s="2"/>
    </row>
    <row r="7" ht="45.0" customHeight="1">
      <c r="B7" s="69" t="s">
        <v>37</v>
      </c>
      <c r="C7" s="70">
        <f>SUM(C4:C6)</f>
        <v>69264.26</v>
      </c>
      <c r="D7" s="65"/>
      <c r="E7" s="66" t="s">
        <v>49</v>
      </c>
      <c r="F7" s="67">
        <v>5000.0</v>
      </c>
      <c r="G7" s="71"/>
      <c r="H7" s="58" t="s">
        <v>41</v>
      </c>
      <c r="I7" s="59" t="s">
        <v>32</v>
      </c>
      <c r="J7" s="62"/>
      <c r="K7" s="2"/>
      <c r="L7" s="62"/>
      <c r="M7" s="62"/>
      <c r="N7" s="62"/>
      <c r="O7" s="62"/>
      <c r="P7" s="2"/>
      <c r="Q7" s="2"/>
    </row>
    <row r="8" ht="45.0" customHeight="1">
      <c r="E8" s="79" t="s">
        <v>50</v>
      </c>
      <c r="F8" s="80">
        <v>6967.0</v>
      </c>
      <c r="G8" s="72"/>
      <c r="H8" s="66" t="s">
        <v>51</v>
      </c>
      <c r="I8" s="67">
        <v>17000.0</v>
      </c>
      <c r="J8" s="62"/>
      <c r="K8" s="1"/>
      <c r="L8" s="62"/>
      <c r="M8" s="62"/>
      <c r="N8" s="62"/>
      <c r="O8" s="62"/>
      <c r="P8" s="2"/>
      <c r="Q8" s="2"/>
    </row>
    <row r="9" ht="45.0" customHeight="1">
      <c r="E9" s="79" t="s">
        <v>52</v>
      </c>
      <c r="F9" s="80">
        <v>2500.0</v>
      </c>
      <c r="G9" s="72"/>
      <c r="H9" s="73" t="s">
        <v>7</v>
      </c>
      <c r="I9" s="74">
        <f>SUM(I8)</f>
        <v>17000</v>
      </c>
      <c r="J9" s="62"/>
      <c r="K9" s="1"/>
      <c r="L9" s="62"/>
      <c r="M9" s="62"/>
      <c r="N9" s="62"/>
      <c r="O9" s="62"/>
      <c r="P9" s="2"/>
      <c r="Q9" s="2"/>
    </row>
    <row r="10" ht="45.0" customHeight="1">
      <c r="E10" s="73" t="s">
        <v>38</v>
      </c>
      <c r="F10" s="74">
        <f>SUM(F4:F9)</f>
        <v>63620</v>
      </c>
      <c r="G10" s="72"/>
      <c r="J10" s="62"/>
      <c r="K10" s="1"/>
      <c r="L10" s="62"/>
      <c r="M10" s="62"/>
      <c r="N10" s="62"/>
      <c r="O10" s="62"/>
      <c r="P10" s="2"/>
      <c r="Q10" s="2"/>
    </row>
    <row r="11" ht="48.0" customHeight="1">
      <c r="B11" s="53"/>
      <c r="C11" s="53"/>
      <c r="D11" s="53"/>
      <c r="F11" s="83"/>
      <c r="G11" s="75"/>
      <c r="J11" s="76"/>
      <c r="K11" s="53"/>
      <c r="L11" s="62"/>
      <c r="M11" s="76"/>
      <c r="O11" s="76"/>
      <c r="P11" s="2"/>
      <c r="Q11" s="2"/>
    </row>
    <row r="12" ht="45.0" customHeight="1">
      <c r="D12" s="53"/>
      <c r="E12" s="75"/>
      <c r="F12" s="75"/>
      <c r="G12" s="75"/>
      <c r="H12" s="53"/>
      <c r="I12" s="62"/>
      <c r="J12" s="76"/>
      <c r="K12" s="1"/>
      <c r="L12" s="2"/>
      <c r="M12" s="76"/>
      <c r="N12" s="76"/>
      <c r="O12" s="76"/>
      <c r="P12" s="2"/>
      <c r="Q12" s="2"/>
    </row>
    <row r="13" ht="45.0" customHeight="1">
      <c r="D13" s="1"/>
      <c r="E13" s="85"/>
      <c r="F13" s="85"/>
      <c r="G13" s="75"/>
      <c r="H13" s="53"/>
      <c r="I13" s="62"/>
      <c r="J13" s="76"/>
      <c r="K13" s="1"/>
      <c r="L13" s="2"/>
      <c r="M13" s="76"/>
      <c r="N13" s="76"/>
      <c r="O13" s="76"/>
      <c r="P13" s="2"/>
      <c r="Q13" s="2"/>
    </row>
    <row r="14" ht="40.5" customHeight="1">
      <c r="D14" s="1"/>
      <c r="E14" s="86"/>
      <c r="F14" s="1"/>
      <c r="G14" s="75"/>
      <c r="H14" s="53"/>
      <c r="I14" s="62"/>
      <c r="J14" s="76"/>
      <c r="K14" s="1"/>
      <c r="L14" s="2"/>
      <c r="M14" s="76"/>
      <c r="N14" s="76"/>
      <c r="O14" s="76"/>
      <c r="P14" s="2"/>
      <c r="Q14" s="2"/>
    </row>
    <row r="15" ht="45.0" customHeight="1">
      <c r="D15" s="53"/>
      <c r="E15" s="1"/>
      <c r="F15" s="1"/>
      <c r="K15" s="1"/>
      <c r="L15" s="2"/>
    </row>
    <row r="16" ht="45.0" customHeight="1">
      <c r="D16" s="53"/>
    </row>
    <row r="17" ht="45.0" customHeight="1">
      <c r="B17" s="53"/>
      <c r="C17" s="53"/>
      <c r="D17" s="53"/>
    </row>
    <row r="18" ht="45.0" customHeight="1">
      <c r="B18" s="53"/>
      <c r="C18" s="62"/>
      <c r="D18" s="62"/>
    </row>
    <row r="19" ht="45.0" customHeight="1">
      <c r="B19" s="53"/>
      <c r="C19" s="62"/>
      <c r="D19" s="62"/>
    </row>
    <row r="20" ht="45.0" customHeight="1">
      <c r="B20" s="53"/>
      <c r="C20" s="62"/>
      <c r="D20" s="62"/>
    </row>
    <row r="21" ht="45.0" customHeight="1">
      <c r="B21" s="1"/>
      <c r="C21" s="71"/>
      <c r="D21" s="71"/>
    </row>
    <row r="22" ht="45.0" customHeight="1"/>
    <row r="23" ht="45.0" customHeight="1">
      <c r="C23" s="83"/>
    </row>
    <row r="24" ht="45.0" customHeight="1"/>
    <row r="25" ht="45.0" customHeight="1"/>
    <row r="26" ht="45.0" customHeight="1"/>
    <row r="27" ht="45.0" customHeight="1"/>
    <row r="28" ht="45.0" customHeight="1"/>
    <row r="29" ht="45.0" customHeight="1"/>
    <row r="30" ht="45.0" customHeight="1"/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  <row r="51" ht="45.0" customHeight="1"/>
    <row r="52" ht="45.0" customHeight="1"/>
    <row r="53" ht="45.0" customHeight="1"/>
    <row r="54" ht="45.0" customHeight="1"/>
    <row r="55" ht="45.0" customHeight="1"/>
    <row r="56" ht="45.0" customHeight="1"/>
    <row r="57" ht="45.0" customHeight="1"/>
    <row r="58" ht="45.0" customHeight="1"/>
    <row r="59" ht="45.0" customHeight="1"/>
    <row r="60" ht="45.0" customHeight="1"/>
    <row r="61" ht="45.0" customHeight="1"/>
    <row r="62" ht="45.0" customHeight="1"/>
    <row r="63" ht="45.0" customHeight="1"/>
    <row r="64" ht="45.0" customHeight="1"/>
    <row r="65" ht="45.0" customHeight="1"/>
    <row r="66" ht="45.0" customHeight="1"/>
    <row r="67" ht="45.0" customHeight="1"/>
    <row r="68" ht="45.0" customHeight="1"/>
    <row r="69" ht="45.0" customHeight="1"/>
    <row r="70" ht="45.0" customHeight="1"/>
    <row r="71" ht="45.0" customHeight="1"/>
    <row r="72" ht="45.0" customHeight="1"/>
    <row r="73" ht="45.0" customHeight="1"/>
    <row r="74" ht="45.0" customHeight="1"/>
    <row r="75" ht="45.0" customHeight="1"/>
    <row r="76" ht="45.0" customHeight="1"/>
    <row r="77" ht="45.0" customHeight="1"/>
    <row r="78" ht="45.0" customHeight="1"/>
    <row r="79" ht="45.0" customHeight="1"/>
    <row r="80" ht="45.0" customHeight="1"/>
    <row r="81" ht="45.0" customHeight="1"/>
    <row r="82" ht="45.0" customHeight="1"/>
    <row r="83" ht="45.0" customHeight="1"/>
    <row r="84" ht="45.0" customHeight="1"/>
    <row r="85" ht="45.0" customHeight="1"/>
    <row r="86" ht="45.0" customHeight="1"/>
    <row r="87" ht="45.0" customHeight="1"/>
    <row r="88" ht="45.0" customHeight="1"/>
    <row r="89" ht="45.0" customHeight="1"/>
    <row r="90" ht="45.0" customHeight="1"/>
    <row r="91" ht="45.0" customHeight="1"/>
    <row r="92" ht="45.0" customHeight="1"/>
    <row r="93" ht="45.0" customHeight="1"/>
    <row r="94" ht="45.0" customHeight="1"/>
    <row r="95" ht="45.0" customHeight="1"/>
    <row r="96" ht="45.0" customHeight="1"/>
    <row r="97" ht="45.0" customHeight="1"/>
    <row r="98" ht="45.0" customHeight="1"/>
    <row r="99" ht="45.0" customHeight="1"/>
    <row r="100" ht="45.0" customHeight="1"/>
    <row r="101" ht="45.0" customHeight="1"/>
    <row r="102" ht="45.0" customHeight="1"/>
    <row r="103" ht="45.0" customHeight="1"/>
    <row r="104" ht="45.0" customHeight="1"/>
    <row r="105" ht="45.0" customHeight="1"/>
    <row r="106" ht="45.0" customHeight="1"/>
    <row r="107" ht="45.0" customHeight="1"/>
    <row r="108" ht="45.0" customHeight="1"/>
    <row r="109" ht="45.0" customHeight="1"/>
    <row r="110" ht="45.0" customHeight="1"/>
    <row r="111" ht="45.0" customHeight="1"/>
    <row r="112" ht="45.0" customHeight="1"/>
    <row r="113" ht="45.0" customHeight="1"/>
    <row r="114" ht="45.0" customHeight="1"/>
    <row r="115" ht="45.0" customHeight="1"/>
    <row r="116" ht="45.0" customHeight="1"/>
    <row r="117" ht="45.0" customHeight="1"/>
    <row r="118" ht="45.0" customHeight="1"/>
    <row r="119" ht="45.0" customHeight="1"/>
    <row r="120" ht="45.0" customHeight="1"/>
    <row r="121" ht="45.0" customHeight="1"/>
    <row r="122" ht="45.0" customHeight="1"/>
    <row r="123" ht="45.0" customHeight="1"/>
    <row r="124" ht="45.0" customHeight="1"/>
    <row r="125" ht="45.0" customHeight="1"/>
    <row r="126" ht="45.0" customHeight="1"/>
    <row r="127" ht="45.0" customHeight="1"/>
    <row r="128" ht="45.0" customHeight="1"/>
    <row r="129" ht="45.0" customHeight="1"/>
    <row r="130" ht="45.0" customHeight="1"/>
    <row r="131" ht="45.0" customHeight="1"/>
    <row r="132" ht="45.0" customHeight="1"/>
    <row r="133" ht="45.0" customHeight="1"/>
    <row r="134" ht="45.0" customHeight="1"/>
    <row r="135" ht="45.0" customHeight="1"/>
    <row r="136" ht="45.0" customHeight="1"/>
    <row r="137" ht="45.0" customHeight="1"/>
    <row r="138" ht="45.0" customHeight="1"/>
    <row r="139" ht="45.0" customHeight="1"/>
    <row r="140" ht="45.0" customHeight="1"/>
    <row r="141" ht="45.0" customHeight="1"/>
    <row r="142" ht="45.0" customHeight="1"/>
    <row r="143" ht="45.0" customHeight="1"/>
    <row r="144" ht="45.0" customHeight="1"/>
    <row r="145" ht="45.0" customHeight="1"/>
    <row r="146" ht="45.0" customHeight="1"/>
    <row r="147" ht="45.0" customHeight="1"/>
    <row r="148" ht="45.0" customHeight="1"/>
    <row r="149" ht="45.0" customHeight="1"/>
    <row r="150" ht="45.0" customHeight="1"/>
    <row r="151" ht="45.0" customHeight="1"/>
    <row r="152" ht="45.0" customHeight="1"/>
    <row r="153" ht="45.0" customHeight="1"/>
    <row r="154" ht="45.0" customHeight="1"/>
    <row r="155" ht="45.0" customHeight="1"/>
    <row r="156" ht="45.0" customHeight="1"/>
    <row r="157" ht="45.0" customHeight="1"/>
    <row r="158" ht="45.0" customHeight="1"/>
    <row r="159" ht="45.0" customHeight="1"/>
    <row r="160" ht="45.0" customHeight="1"/>
    <row r="161" ht="45.0" customHeight="1"/>
    <row r="162" ht="45.0" customHeight="1"/>
    <row r="163" ht="45.0" customHeight="1"/>
    <row r="164" ht="45.0" customHeight="1"/>
    <row r="165" ht="45.0" customHeight="1"/>
    <row r="166" ht="45.0" customHeight="1"/>
    <row r="167" ht="45.0" customHeight="1"/>
    <row r="168" ht="45.0" customHeight="1"/>
    <row r="169" ht="45.0" customHeight="1"/>
    <row r="170" ht="45.0" customHeight="1"/>
    <row r="171" ht="45.0" customHeight="1"/>
    <row r="172" ht="45.0" customHeight="1"/>
    <row r="173" ht="45.0" customHeight="1"/>
    <row r="174" ht="45.0" customHeight="1"/>
    <row r="175" ht="45.0" customHeight="1"/>
    <row r="176" ht="45.0" customHeight="1"/>
    <row r="177" ht="45.0" customHeight="1"/>
    <row r="178" ht="45.0" customHeight="1"/>
    <row r="179" ht="45.0" customHeight="1"/>
    <row r="180" ht="45.0" customHeight="1"/>
    <row r="181" ht="45.0" customHeight="1"/>
    <row r="182" ht="45.0" customHeight="1"/>
    <row r="183" ht="45.0" customHeight="1"/>
    <row r="184" ht="45.0" customHeight="1"/>
    <row r="185" ht="45.0" customHeight="1"/>
    <row r="186" ht="45.0" customHeight="1"/>
    <row r="187" ht="45.0" customHeight="1"/>
    <row r="188" ht="45.0" customHeight="1"/>
    <row r="189" ht="45.0" customHeight="1"/>
    <row r="190" ht="45.0" customHeight="1"/>
    <row r="191" ht="45.0" customHeight="1"/>
    <row r="192" ht="45.0" customHeight="1"/>
    <row r="193" ht="45.0" customHeight="1"/>
    <row r="194" ht="45.0" customHeight="1"/>
    <row r="195" ht="45.0" customHeight="1"/>
    <row r="196" ht="45.0" customHeight="1"/>
    <row r="197" ht="45.0" customHeight="1"/>
    <row r="198" ht="45.0" customHeight="1"/>
    <row r="199" ht="45.0" customHeight="1"/>
    <row r="200" ht="45.0" customHeight="1"/>
    <row r="201" ht="45.0" customHeight="1"/>
    <row r="202" ht="45.0" customHeight="1"/>
    <row r="203" ht="45.0" customHeight="1"/>
    <row r="204" ht="45.0" customHeight="1"/>
    <row r="205" ht="45.0" customHeight="1"/>
    <row r="206" ht="45.0" customHeight="1"/>
    <row r="207" ht="45.0" customHeight="1"/>
    <row r="208" ht="45.0" customHeight="1"/>
    <row r="209" ht="45.0" customHeight="1"/>
    <row r="210" ht="45.0" customHeight="1"/>
    <row r="211" ht="45.0" customHeight="1"/>
    <row r="212" ht="45.0" customHeight="1"/>
    <row r="213" ht="45.0" customHeight="1"/>
    <row r="214" ht="45.0" customHeight="1"/>
    <row r="215" ht="45.0" customHeight="1"/>
    <row r="216" ht="45.0" customHeight="1"/>
    <row r="217" ht="45.0" customHeight="1"/>
    <row r="218" ht="45.0" customHeight="1"/>
    <row r="219" ht="45.0" customHeight="1"/>
    <row r="220" ht="45.0" customHeight="1"/>
    <row r="221" ht="45.0" customHeight="1"/>
    <row r="222" ht="45.0" customHeight="1"/>
    <row r="223" ht="45.0" customHeight="1"/>
    <row r="224" ht="45.0" customHeight="1"/>
    <row r="225" ht="45.0" customHeight="1"/>
    <row r="226" ht="45.0" customHeight="1"/>
    <row r="227" ht="45.0" customHeight="1"/>
    <row r="228" ht="45.0" customHeight="1"/>
    <row r="229" ht="45.0" customHeight="1"/>
    <row r="230" ht="45.0" customHeight="1"/>
    <row r="231" ht="45.0" customHeight="1"/>
    <row r="232" ht="45.0" customHeight="1"/>
    <row r="233" ht="45.0" customHeight="1"/>
    <row r="234" ht="45.0" customHeight="1"/>
    <row r="235" ht="45.0" customHeight="1"/>
    <row r="236" ht="45.0" customHeight="1"/>
    <row r="237" ht="45.0" customHeight="1"/>
    <row r="238" ht="45.0" customHeight="1"/>
    <row r="239" ht="45.0" customHeight="1"/>
    <row r="240" ht="45.0" customHeight="1"/>
    <row r="241" ht="45.0" customHeight="1"/>
    <row r="242" ht="45.0" customHeight="1"/>
    <row r="243" ht="45.0" customHeight="1"/>
    <row r="244" ht="45.0" customHeight="1"/>
    <row r="245" ht="45.0" customHeight="1"/>
    <row r="246" ht="45.0" customHeight="1"/>
    <row r="247" ht="45.0" customHeight="1"/>
    <row r="248" ht="45.0" customHeight="1"/>
    <row r="249" ht="45.0" customHeight="1"/>
    <row r="250" ht="45.0" customHeight="1"/>
    <row r="251" ht="45.0" customHeight="1"/>
    <row r="252" ht="45.0" customHeight="1"/>
    <row r="253" ht="45.0" customHeight="1"/>
    <row r="254" ht="45.0" customHeight="1"/>
    <row r="255" ht="45.0" customHeight="1"/>
    <row r="256" ht="45.0" customHeight="1"/>
    <row r="257" ht="45.0" customHeight="1"/>
    <row r="258" ht="45.0" customHeight="1"/>
    <row r="259" ht="45.0" customHeight="1"/>
    <row r="260" ht="45.0" customHeight="1"/>
    <row r="261" ht="45.0" customHeight="1"/>
    <row r="262" ht="45.0" customHeight="1"/>
    <row r="263" ht="45.0" customHeight="1"/>
    <row r="264" ht="45.0" customHeight="1"/>
    <row r="265" ht="45.0" customHeight="1"/>
    <row r="266" ht="45.0" customHeight="1"/>
    <row r="267" ht="45.0" customHeight="1"/>
    <row r="268" ht="45.0" customHeight="1"/>
    <row r="269" ht="45.0" customHeight="1"/>
    <row r="270" ht="45.0" customHeight="1"/>
    <row r="271" ht="45.0" customHeight="1"/>
    <row r="272" ht="45.0" customHeight="1"/>
    <row r="273" ht="45.0" customHeight="1"/>
    <row r="274" ht="45.0" customHeight="1"/>
    <row r="275" ht="45.0" customHeight="1"/>
    <row r="276" ht="45.0" customHeight="1"/>
    <row r="277" ht="45.0" customHeight="1"/>
    <row r="278" ht="45.0" customHeight="1"/>
    <row r="279" ht="45.0" customHeight="1"/>
    <row r="280" ht="45.0" customHeight="1"/>
    <row r="281" ht="45.0" customHeight="1"/>
    <row r="282" ht="45.0" customHeight="1"/>
    <row r="283" ht="45.0" customHeight="1"/>
    <row r="284" ht="45.0" customHeight="1"/>
    <row r="285" ht="45.0" customHeight="1"/>
    <row r="286" ht="45.0" customHeight="1"/>
    <row r="287" ht="45.0" customHeight="1"/>
    <row r="288" ht="45.0" customHeight="1"/>
    <row r="289" ht="45.0" customHeight="1"/>
    <row r="290" ht="45.0" customHeight="1"/>
    <row r="291" ht="45.0" customHeight="1"/>
    <row r="292" ht="45.0" customHeight="1"/>
    <row r="293" ht="45.0" customHeight="1"/>
    <row r="294" ht="45.0" customHeight="1"/>
    <row r="295" ht="45.0" customHeight="1"/>
    <row r="296" ht="45.0" customHeight="1"/>
    <row r="297" ht="45.0" customHeight="1"/>
    <row r="298" ht="45.0" customHeight="1"/>
    <row r="299" ht="45.0" customHeight="1"/>
    <row r="300" ht="45.0" customHeight="1"/>
    <row r="301" ht="45.0" customHeight="1"/>
    <row r="302" ht="45.0" customHeight="1"/>
    <row r="303" ht="45.0" customHeight="1"/>
    <row r="304" ht="45.0" customHeight="1"/>
    <row r="305" ht="45.0" customHeight="1"/>
    <row r="306" ht="45.0" customHeight="1"/>
    <row r="307" ht="45.0" customHeight="1"/>
    <row r="308" ht="45.0" customHeight="1"/>
    <row r="309" ht="45.0" customHeight="1"/>
    <row r="310" ht="45.0" customHeight="1"/>
    <row r="311" ht="45.0" customHeight="1"/>
    <row r="312" ht="45.0" customHeight="1"/>
    <row r="313" ht="45.0" customHeight="1"/>
    <row r="314" ht="45.0" customHeight="1"/>
    <row r="315" ht="45.0" customHeight="1"/>
    <row r="316" ht="45.0" customHeight="1"/>
    <row r="317" ht="45.0" customHeight="1"/>
    <row r="318" ht="45.0" customHeight="1"/>
    <row r="319" ht="45.0" customHeight="1"/>
    <row r="320" ht="45.0" customHeight="1"/>
    <row r="321" ht="45.0" customHeight="1"/>
    <row r="322" ht="45.0" customHeight="1"/>
    <row r="323" ht="45.0" customHeight="1"/>
    <row r="324" ht="45.0" customHeight="1"/>
    <row r="325" ht="45.0" customHeight="1"/>
    <row r="326" ht="45.0" customHeight="1"/>
    <row r="327" ht="45.0" customHeight="1"/>
    <row r="328" ht="45.0" customHeight="1"/>
    <row r="329" ht="45.0" customHeight="1"/>
    <row r="330" ht="45.0" customHeight="1"/>
    <row r="331" ht="45.0" customHeight="1"/>
    <row r="332" ht="45.0" customHeight="1"/>
    <row r="333" ht="45.0" customHeight="1"/>
    <row r="334" ht="45.0" customHeight="1"/>
    <row r="335" ht="45.0" customHeight="1"/>
    <row r="336" ht="45.0" customHeight="1"/>
    <row r="337" ht="45.0" customHeight="1"/>
    <row r="338" ht="45.0" customHeight="1"/>
    <row r="339" ht="45.0" customHeight="1"/>
    <row r="340" ht="45.0" customHeight="1"/>
    <row r="341" ht="45.0" customHeight="1"/>
    <row r="342" ht="45.0" customHeight="1"/>
    <row r="343" ht="45.0" customHeight="1"/>
    <row r="344" ht="45.0" customHeight="1"/>
    <row r="345" ht="45.0" customHeight="1"/>
    <row r="346" ht="45.0" customHeight="1"/>
    <row r="347" ht="45.0" customHeight="1"/>
    <row r="348" ht="45.0" customHeight="1"/>
    <row r="349" ht="45.0" customHeight="1"/>
    <row r="350" ht="45.0" customHeight="1"/>
    <row r="351" ht="45.0" customHeight="1"/>
    <row r="352" ht="45.0" customHeight="1"/>
    <row r="353" ht="45.0" customHeight="1"/>
    <row r="354" ht="45.0" customHeight="1"/>
    <row r="355" ht="45.0" customHeight="1"/>
    <row r="356" ht="45.0" customHeight="1"/>
    <row r="357" ht="45.0" customHeight="1"/>
    <row r="358" ht="45.0" customHeight="1"/>
    <row r="359" ht="45.0" customHeight="1"/>
    <row r="360" ht="45.0" customHeight="1"/>
    <row r="361" ht="45.0" customHeight="1"/>
    <row r="362" ht="45.0" customHeight="1"/>
    <row r="363" ht="45.0" customHeight="1"/>
    <row r="364" ht="45.0" customHeight="1"/>
    <row r="365" ht="45.0" customHeight="1"/>
    <row r="366" ht="45.0" customHeight="1"/>
    <row r="367" ht="45.0" customHeight="1"/>
    <row r="368" ht="45.0" customHeight="1"/>
    <row r="369" ht="45.0" customHeight="1"/>
    <row r="370" ht="45.0" customHeight="1"/>
    <row r="371" ht="45.0" customHeight="1"/>
    <row r="372" ht="45.0" customHeight="1"/>
    <row r="373" ht="45.0" customHeight="1"/>
    <row r="374" ht="45.0" customHeight="1"/>
    <row r="375" ht="45.0" customHeight="1"/>
    <row r="376" ht="45.0" customHeight="1"/>
    <row r="377" ht="45.0" customHeight="1"/>
    <row r="378" ht="45.0" customHeight="1"/>
    <row r="379" ht="45.0" customHeight="1"/>
    <row r="380" ht="45.0" customHeight="1"/>
    <row r="381" ht="45.0" customHeight="1"/>
    <row r="382" ht="45.0" customHeight="1"/>
    <row r="383" ht="45.0" customHeight="1"/>
    <row r="384" ht="45.0" customHeight="1"/>
    <row r="385" ht="45.0" customHeight="1"/>
    <row r="386" ht="45.0" customHeight="1"/>
    <row r="387" ht="45.0" customHeight="1"/>
    <row r="388" ht="45.0" customHeight="1"/>
    <row r="389" ht="45.0" customHeight="1"/>
    <row r="390" ht="45.0" customHeight="1"/>
    <row r="391" ht="45.0" customHeight="1"/>
    <row r="392" ht="45.0" customHeight="1"/>
    <row r="393" ht="45.0" customHeight="1"/>
    <row r="394" ht="45.0" customHeight="1"/>
    <row r="395" ht="45.0" customHeight="1"/>
    <row r="396" ht="45.0" customHeight="1"/>
    <row r="397" ht="45.0" customHeight="1"/>
    <row r="398" ht="45.0" customHeight="1"/>
    <row r="399" ht="45.0" customHeight="1"/>
    <row r="400" ht="45.0" customHeight="1"/>
    <row r="401" ht="45.0" customHeight="1"/>
    <row r="402" ht="45.0" customHeight="1"/>
    <row r="403" ht="45.0" customHeight="1"/>
    <row r="404" ht="45.0" customHeight="1"/>
    <row r="405" ht="45.0" customHeight="1"/>
    <row r="406" ht="45.0" customHeight="1"/>
    <row r="407" ht="45.0" customHeight="1"/>
    <row r="408" ht="45.0" customHeight="1"/>
    <row r="409" ht="45.0" customHeight="1"/>
    <row r="410" ht="45.0" customHeight="1"/>
    <row r="411" ht="45.0" customHeight="1"/>
    <row r="412" ht="45.0" customHeight="1"/>
    <row r="413" ht="45.0" customHeight="1"/>
    <row r="414" ht="45.0" customHeight="1"/>
    <row r="415" ht="45.0" customHeight="1"/>
    <row r="416" ht="45.0" customHeight="1"/>
    <row r="417" ht="45.0" customHeight="1"/>
    <row r="418" ht="45.0" customHeight="1"/>
    <row r="419" ht="45.0" customHeight="1"/>
    <row r="420" ht="45.0" customHeight="1"/>
    <row r="421" ht="45.0" customHeight="1"/>
    <row r="422" ht="45.0" customHeight="1"/>
    <row r="423" ht="45.0" customHeight="1"/>
    <row r="424" ht="45.0" customHeight="1"/>
    <row r="425" ht="45.0" customHeight="1"/>
    <row r="426" ht="45.0" customHeight="1"/>
    <row r="427" ht="45.0" customHeight="1"/>
    <row r="428" ht="45.0" customHeight="1"/>
    <row r="429" ht="45.0" customHeight="1"/>
    <row r="430" ht="45.0" customHeight="1"/>
    <row r="431" ht="45.0" customHeight="1"/>
    <row r="432" ht="45.0" customHeight="1"/>
    <row r="433" ht="45.0" customHeight="1"/>
    <row r="434" ht="45.0" customHeight="1"/>
    <row r="435" ht="45.0" customHeight="1"/>
    <row r="436" ht="45.0" customHeight="1"/>
    <row r="437" ht="45.0" customHeight="1"/>
    <row r="438" ht="45.0" customHeight="1"/>
    <row r="439" ht="45.0" customHeight="1"/>
    <row r="440" ht="45.0" customHeight="1"/>
    <row r="441" ht="45.0" customHeight="1"/>
    <row r="442" ht="45.0" customHeight="1"/>
    <row r="443" ht="45.0" customHeight="1"/>
    <row r="444" ht="45.0" customHeight="1"/>
    <row r="445" ht="45.0" customHeight="1"/>
    <row r="446" ht="45.0" customHeight="1"/>
    <row r="447" ht="45.0" customHeight="1"/>
    <row r="448" ht="45.0" customHeight="1"/>
    <row r="449" ht="45.0" customHeight="1"/>
    <row r="450" ht="45.0" customHeight="1"/>
    <row r="451" ht="45.0" customHeight="1"/>
    <row r="452" ht="45.0" customHeight="1"/>
    <row r="453" ht="45.0" customHeight="1"/>
    <row r="454" ht="45.0" customHeight="1"/>
    <row r="455" ht="45.0" customHeight="1"/>
    <row r="456" ht="45.0" customHeight="1"/>
    <row r="457" ht="45.0" customHeight="1"/>
    <row r="458" ht="45.0" customHeight="1"/>
    <row r="459" ht="45.0" customHeight="1"/>
    <row r="460" ht="45.0" customHeight="1"/>
    <row r="461" ht="45.0" customHeight="1"/>
    <row r="462" ht="45.0" customHeight="1"/>
    <row r="463" ht="45.0" customHeight="1"/>
    <row r="464" ht="45.0" customHeight="1"/>
    <row r="465" ht="45.0" customHeight="1"/>
    <row r="466" ht="45.0" customHeight="1"/>
    <row r="467" ht="45.0" customHeight="1"/>
    <row r="468" ht="45.0" customHeight="1"/>
    <row r="469" ht="45.0" customHeight="1"/>
    <row r="470" ht="45.0" customHeight="1"/>
    <row r="471" ht="45.0" customHeight="1"/>
    <row r="472" ht="45.0" customHeight="1"/>
    <row r="473" ht="45.0" customHeight="1"/>
    <row r="474" ht="45.0" customHeight="1"/>
    <row r="475" ht="45.0" customHeight="1"/>
    <row r="476" ht="45.0" customHeight="1"/>
    <row r="477" ht="45.0" customHeight="1"/>
    <row r="478" ht="45.0" customHeight="1"/>
    <row r="479" ht="45.0" customHeight="1"/>
    <row r="480" ht="45.0" customHeight="1"/>
    <row r="481" ht="45.0" customHeight="1"/>
    <row r="482" ht="45.0" customHeight="1"/>
    <row r="483" ht="45.0" customHeight="1"/>
    <row r="484" ht="45.0" customHeight="1"/>
    <row r="485" ht="45.0" customHeight="1"/>
    <row r="486" ht="45.0" customHeight="1"/>
    <row r="487" ht="45.0" customHeight="1"/>
    <row r="488" ht="45.0" customHeight="1"/>
    <row r="489" ht="45.0" customHeight="1"/>
    <row r="490" ht="45.0" customHeight="1"/>
    <row r="491" ht="45.0" customHeight="1"/>
    <row r="492" ht="45.0" customHeight="1"/>
    <row r="493" ht="45.0" customHeight="1"/>
    <row r="494" ht="45.0" customHeight="1"/>
    <row r="495" ht="45.0" customHeight="1"/>
    <row r="496" ht="45.0" customHeight="1"/>
    <row r="497" ht="45.0" customHeight="1"/>
    <row r="498" ht="45.0" customHeight="1"/>
    <row r="499" ht="45.0" customHeight="1"/>
    <row r="500" ht="45.0" customHeight="1"/>
    <row r="501" ht="45.0" customHeight="1"/>
    <row r="502" ht="45.0" customHeight="1"/>
    <row r="503" ht="45.0" customHeight="1"/>
    <row r="504" ht="45.0" customHeight="1"/>
    <row r="505" ht="45.0" customHeight="1"/>
    <row r="506" ht="45.0" customHeight="1"/>
    <row r="507" ht="45.0" customHeight="1"/>
    <row r="508" ht="45.0" customHeight="1"/>
    <row r="509" ht="45.0" customHeight="1"/>
    <row r="510" ht="45.0" customHeight="1"/>
    <row r="511" ht="45.0" customHeight="1"/>
    <row r="512" ht="45.0" customHeight="1"/>
    <row r="513" ht="45.0" customHeight="1"/>
    <row r="514" ht="45.0" customHeight="1"/>
    <row r="515" ht="45.0" customHeight="1"/>
    <row r="516" ht="45.0" customHeight="1"/>
    <row r="517" ht="45.0" customHeight="1"/>
    <row r="518" ht="45.0" customHeight="1"/>
    <row r="519" ht="45.0" customHeight="1"/>
    <row r="520" ht="45.0" customHeight="1"/>
    <row r="521" ht="45.0" customHeight="1"/>
    <row r="522" ht="45.0" customHeight="1"/>
    <row r="523" ht="45.0" customHeight="1"/>
    <row r="524" ht="45.0" customHeight="1"/>
    <row r="525" ht="45.0" customHeight="1"/>
    <row r="526" ht="45.0" customHeight="1"/>
    <row r="527" ht="45.0" customHeight="1"/>
    <row r="528" ht="45.0" customHeight="1"/>
    <row r="529" ht="45.0" customHeight="1"/>
    <row r="530" ht="45.0" customHeight="1"/>
    <row r="531" ht="45.0" customHeight="1"/>
    <row r="532" ht="45.0" customHeight="1"/>
    <row r="533" ht="45.0" customHeight="1"/>
    <row r="534" ht="45.0" customHeight="1"/>
    <row r="535" ht="45.0" customHeight="1"/>
    <row r="536" ht="45.0" customHeight="1"/>
    <row r="537" ht="45.0" customHeight="1"/>
    <row r="538" ht="45.0" customHeight="1"/>
    <row r="539" ht="45.0" customHeight="1"/>
    <row r="540" ht="45.0" customHeight="1"/>
    <row r="541" ht="45.0" customHeight="1"/>
    <row r="542" ht="45.0" customHeight="1"/>
    <row r="543" ht="45.0" customHeight="1"/>
    <row r="544" ht="45.0" customHeight="1"/>
    <row r="545" ht="45.0" customHeight="1"/>
    <row r="546" ht="45.0" customHeight="1"/>
    <row r="547" ht="45.0" customHeight="1"/>
    <row r="548" ht="45.0" customHeight="1"/>
    <row r="549" ht="45.0" customHeight="1"/>
    <row r="550" ht="45.0" customHeight="1"/>
    <row r="551" ht="45.0" customHeight="1"/>
    <row r="552" ht="45.0" customHeight="1"/>
    <row r="553" ht="45.0" customHeight="1"/>
    <row r="554" ht="45.0" customHeight="1"/>
    <row r="555" ht="45.0" customHeight="1"/>
    <row r="556" ht="45.0" customHeight="1"/>
    <row r="557" ht="45.0" customHeight="1"/>
    <row r="558" ht="45.0" customHeight="1"/>
    <row r="559" ht="45.0" customHeight="1"/>
    <row r="560" ht="45.0" customHeight="1"/>
    <row r="561" ht="45.0" customHeight="1"/>
    <row r="562" ht="45.0" customHeight="1"/>
    <row r="563" ht="45.0" customHeight="1"/>
    <row r="564" ht="45.0" customHeight="1"/>
    <row r="565" ht="45.0" customHeight="1"/>
    <row r="566" ht="45.0" customHeight="1"/>
    <row r="567" ht="45.0" customHeight="1"/>
    <row r="568" ht="45.0" customHeight="1"/>
    <row r="569" ht="45.0" customHeight="1"/>
    <row r="570" ht="45.0" customHeight="1"/>
    <row r="571" ht="45.0" customHeight="1"/>
    <row r="572" ht="45.0" customHeight="1"/>
    <row r="573" ht="45.0" customHeight="1"/>
    <row r="574" ht="45.0" customHeight="1"/>
    <row r="575" ht="45.0" customHeight="1"/>
    <row r="576" ht="45.0" customHeight="1"/>
    <row r="577" ht="45.0" customHeight="1"/>
    <row r="578" ht="45.0" customHeight="1"/>
    <row r="579" ht="45.0" customHeight="1"/>
    <row r="580" ht="45.0" customHeight="1"/>
    <row r="581" ht="45.0" customHeight="1"/>
    <row r="582" ht="45.0" customHeight="1"/>
    <row r="583" ht="45.0" customHeight="1"/>
    <row r="584" ht="45.0" customHeight="1"/>
    <row r="585" ht="45.0" customHeight="1"/>
    <row r="586" ht="45.0" customHeight="1"/>
    <row r="587" ht="45.0" customHeight="1"/>
    <row r="588" ht="45.0" customHeight="1"/>
    <row r="589" ht="45.0" customHeight="1"/>
    <row r="590" ht="45.0" customHeight="1"/>
    <row r="591" ht="45.0" customHeight="1"/>
    <row r="592" ht="45.0" customHeight="1"/>
    <row r="593" ht="45.0" customHeight="1"/>
    <row r="594" ht="45.0" customHeight="1"/>
    <row r="595" ht="45.0" customHeight="1"/>
    <row r="596" ht="45.0" customHeight="1"/>
    <row r="597" ht="45.0" customHeight="1"/>
    <row r="598" ht="45.0" customHeight="1"/>
    <row r="599" ht="45.0" customHeight="1"/>
    <row r="600" ht="45.0" customHeight="1"/>
    <row r="601" ht="45.0" customHeight="1"/>
    <row r="602" ht="45.0" customHeight="1"/>
    <row r="603" ht="45.0" customHeight="1"/>
    <row r="604" ht="45.0" customHeight="1"/>
    <row r="605" ht="45.0" customHeight="1"/>
    <row r="606" ht="45.0" customHeight="1"/>
    <row r="607" ht="45.0" customHeight="1"/>
    <row r="608" ht="45.0" customHeight="1"/>
    <row r="609" ht="45.0" customHeight="1"/>
    <row r="610" ht="45.0" customHeight="1"/>
    <row r="611" ht="45.0" customHeight="1"/>
    <row r="612" ht="45.0" customHeight="1"/>
    <row r="613" ht="45.0" customHeight="1"/>
    <row r="614" ht="45.0" customHeight="1"/>
    <row r="615" ht="45.0" customHeight="1"/>
    <row r="616" ht="45.0" customHeight="1"/>
    <row r="617" ht="45.0" customHeight="1"/>
    <row r="618" ht="45.0" customHeight="1"/>
    <row r="619" ht="45.0" customHeight="1"/>
    <row r="620" ht="45.0" customHeight="1"/>
    <row r="621" ht="45.0" customHeight="1"/>
    <row r="622" ht="45.0" customHeight="1"/>
    <row r="623" ht="45.0" customHeight="1"/>
    <row r="624" ht="45.0" customHeight="1"/>
    <row r="625" ht="45.0" customHeight="1"/>
    <row r="626" ht="45.0" customHeight="1"/>
    <row r="627" ht="45.0" customHeight="1"/>
    <row r="628" ht="45.0" customHeight="1"/>
    <row r="629" ht="45.0" customHeight="1"/>
    <row r="630" ht="45.0" customHeight="1"/>
    <row r="631" ht="45.0" customHeight="1"/>
    <row r="632" ht="45.0" customHeight="1"/>
    <row r="633" ht="45.0" customHeight="1"/>
    <row r="634" ht="45.0" customHeight="1"/>
    <row r="635" ht="45.0" customHeight="1"/>
    <row r="636" ht="45.0" customHeight="1"/>
    <row r="637" ht="45.0" customHeight="1"/>
    <row r="638" ht="45.0" customHeight="1"/>
    <row r="639" ht="45.0" customHeight="1"/>
    <row r="640" ht="45.0" customHeight="1"/>
    <row r="641" ht="45.0" customHeight="1"/>
    <row r="642" ht="45.0" customHeight="1"/>
    <row r="643" ht="45.0" customHeight="1"/>
    <row r="644" ht="45.0" customHeight="1"/>
    <row r="645" ht="45.0" customHeight="1"/>
    <row r="646" ht="45.0" customHeight="1"/>
    <row r="647" ht="45.0" customHeight="1"/>
    <row r="648" ht="45.0" customHeight="1"/>
    <row r="649" ht="45.0" customHeight="1"/>
    <row r="650" ht="45.0" customHeight="1"/>
    <row r="651" ht="45.0" customHeight="1"/>
    <row r="652" ht="45.0" customHeight="1"/>
    <row r="653" ht="45.0" customHeight="1"/>
    <row r="654" ht="45.0" customHeight="1"/>
    <row r="655" ht="45.0" customHeight="1"/>
    <row r="656" ht="45.0" customHeight="1"/>
    <row r="657" ht="45.0" customHeight="1"/>
    <row r="658" ht="45.0" customHeight="1"/>
    <row r="659" ht="45.0" customHeight="1"/>
    <row r="660" ht="45.0" customHeight="1"/>
    <row r="661" ht="45.0" customHeight="1"/>
    <row r="662" ht="45.0" customHeight="1"/>
    <row r="663" ht="45.0" customHeight="1"/>
    <row r="664" ht="45.0" customHeight="1"/>
    <row r="665" ht="45.0" customHeight="1"/>
    <row r="666" ht="45.0" customHeight="1"/>
    <row r="667" ht="45.0" customHeight="1"/>
    <row r="668" ht="45.0" customHeight="1"/>
    <row r="669" ht="45.0" customHeight="1"/>
    <row r="670" ht="45.0" customHeight="1"/>
    <row r="671" ht="45.0" customHeight="1"/>
    <row r="672" ht="45.0" customHeight="1"/>
    <row r="673" ht="45.0" customHeight="1"/>
    <row r="674" ht="45.0" customHeight="1"/>
    <row r="675" ht="45.0" customHeight="1"/>
    <row r="676" ht="45.0" customHeight="1"/>
    <row r="677" ht="45.0" customHeight="1"/>
    <row r="678" ht="45.0" customHeight="1"/>
    <row r="679" ht="45.0" customHeight="1"/>
    <row r="680" ht="45.0" customHeight="1"/>
    <row r="681" ht="45.0" customHeight="1"/>
    <row r="682" ht="45.0" customHeight="1"/>
    <row r="683" ht="45.0" customHeight="1"/>
    <row r="684" ht="45.0" customHeight="1"/>
    <row r="685" ht="45.0" customHeight="1"/>
    <row r="686" ht="45.0" customHeight="1"/>
    <row r="687" ht="45.0" customHeight="1"/>
    <row r="688" ht="45.0" customHeight="1"/>
    <row r="689" ht="45.0" customHeight="1"/>
    <row r="690" ht="45.0" customHeight="1"/>
    <row r="691" ht="45.0" customHeight="1"/>
    <row r="692" ht="45.0" customHeight="1"/>
    <row r="693" ht="45.0" customHeight="1"/>
    <row r="694" ht="45.0" customHeight="1"/>
    <row r="695" ht="45.0" customHeight="1"/>
    <row r="696" ht="45.0" customHeight="1"/>
    <row r="697" ht="45.0" customHeight="1"/>
    <row r="698" ht="45.0" customHeight="1"/>
    <row r="699" ht="45.0" customHeight="1"/>
    <row r="700" ht="45.0" customHeight="1"/>
    <row r="701" ht="45.0" customHeight="1"/>
    <row r="702" ht="45.0" customHeight="1"/>
    <row r="703" ht="45.0" customHeight="1"/>
    <row r="704" ht="45.0" customHeight="1"/>
    <row r="705" ht="45.0" customHeight="1"/>
    <row r="706" ht="45.0" customHeight="1"/>
    <row r="707" ht="45.0" customHeight="1"/>
    <row r="708" ht="45.0" customHeight="1"/>
    <row r="709" ht="45.0" customHeight="1"/>
    <row r="710" ht="45.0" customHeight="1"/>
    <row r="711" ht="45.0" customHeight="1"/>
    <row r="712" ht="45.0" customHeight="1"/>
    <row r="713" ht="45.0" customHeight="1"/>
    <row r="714" ht="45.0" customHeight="1"/>
    <row r="715" ht="45.0" customHeight="1"/>
    <row r="716" ht="45.0" customHeight="1"/>
    <row r="717" ht="45.0" customHeight="1"/>
    <row r="718" ht="45.0" customHeight="1"/>
    <row r="719" ht="45.0" customHeight="1"/>
    <row r="720" ht="45.0" customHeight="1"/>
    <row r="721" ht="45.0" customHeight="1"/>
    <row r="722" ht="45.0" customHeight="1"/>
    <row r="723" ht="45.0" customHeight="1"/>
    <row r="724" ht="45.0" customHeight="1"/>
    <row r="725" ht="45.0" customHeight="1"/>
    <row r="726" ht="45.0" customHeight="1"/>
    <row r="727" ht="45.0" customHeight="1"/>
    <row r="728" ht="45.0" customHeight="1"/>
    <row r="729" ht="45.0" customHeight="1"/>
    <row r="730" ht="45.0" customHeight="1"/>
    <row r="731" ht="45.0" customHeight="1"/>
    <row r="732" ht="45.0" customHeight="1"/>
    <row r="733" ht="45.0" customHeight="1"/>
    <row r="734" ht="45.0" customHeight="1"/>
    <row r="735" ht="45.0" customHeight="1"/>
    <row r="736" ht="45.0" customHeight="1"/>
    <row r="737" ht="45.0" customHeight="1"/>
    <row r="738" ht="45.0" customHeight="1"/>
    <row r="739" ht="45.0" customHeight="1"/>
    <row r="740" ht="45.0" customHeight="1"/>
    <row r="741" ht="45.0" customHeight="1"/>
    <row r="742" ht="45.0" customHeight="1"/>
    <row r="743" ht="45.0" customHeight="1"/>
    <row r="744" ht="45.0" customHeight="1"/>
    <row r="745" ht="45.0" customHeight="1"/>
    <row r="746" ht="45.0" customHeight="1"/>
    <row r="747" ht="45.0" customHeight="1"/>
    <row r="748" ht="45.0" customHeight="1"/>
    <row r="749" ht="45.0" customHeight="1"/>
    <row r="750" ht="45.0" customHeight="1"/>
    <row r="751" ht="45.0" customHeight="1"/>
    <row r="752" ht="45.0" customHeight="1"/>
    <row r="753" ht="45.0" customHeight="1"/>
    <row r="754" ht="45.0" customHeight="1"/>
    <row r="755" ht="45.0" customHeight="1"/>
    <row r="756" ht="45.0" customHeight="1"/>
    <row r="757" ht="45.0" customHeight="1"/>
    <row r="758" ht="45.0" customHeight="1"/>
    <row r="759" ht="45.0" customHeight="1"/>
    <row r="760" ht="45.0" customHeight="1"/>
    <row r="761" ht="45.0" customHeight="1"/>
    <row r="762" ht="45.0" customHeight="1"/>
    <row r="763" ht="45.0" customHeight="1"/>
    <row r="764" ht="45.0" customHeight="1"/>
    <row r="765" ht="45.0" customHeight="1"/>
    <row r="766" ht="45.0" customHeight="1"/>
    <row r="767" ht="45.0" customHeight="1"/>
    <row r="768" ht="45.0" customHeight="1"/>
    <row r="769" ht="45.0" customHeight="1"/>
    <row r="770" ht="45.0" customHeight="1"/>
    <row r="771" ht="45.0" customHeight="1"/>
    <row r="772" ht="45.0" customHeight="1"/>
    <row r="773" ht="45.0" customHeight="1"/>
    <row r="774" ht="45.0" customHeight="1"/>
    <row r="775" ht="45.0" customHeight="1"/>
    <row r="776" ht="45.0" customHeight="1"/>
    <row r="777" ht="45.0" customHeight="1"/>
    <row r="778" ht="45.0" customHeight="1"/>
    <row r="779" ht="45.0" customHeight="1"/>
    <row r="780" ht="45.0" customHeight="1"/>
    <row r="781" ht="45.0" customHeight="1"/>
    <row r="782" ht="45.0" customHeight="1"/>
    <row r="783" ht="45.0" customHeight="1"/>
    <row r="784" ht="45.0" customHeight="1"/>
    <row r="785" ht="45.0" customHeight="1"/>
    <row r="786" ht="45.0" customHeight="1"/>
    <row r="787" ht="45.0" customHeight="1"/>
    <row r="788" ht="45.0" customHeight="1"/>
    <row r="789" ht="45.0" customHeight="1"/>
    <row r="790" ht="45.0" customHeight="1"/>
    <row r="791" ht="45.0" customHeight="1"/>
    <row r="792" ht="45.0" customHeight="1"/>
    <row r="793" ht="45.0" customHeight="1"/>
    <row r="794" ht="45.0" customHeight="1"/>
    <row r="795" ht="45.0" customHeight="1"/>
    <row r="796" ht="45.0" customHeight="1"/>
    <row r="797" ht="45.0" customHeight="1"/>
    <row r="798" ht="45.0" customHeight="1"/>
    <row r="799" ht="45.0" customHeight="1"/>
    <row r="800" ht="45.0" customHeight="1"/>
    <row r="801" ht="45.0" customHeight="1"/>
    <row r="802" ht="45.0" customHeight="1"/>
    <row r="803" ht="45.0" customHeight="1"/>
    <row r="804" ht="45.0" customHeight="1"/>
    <row r="805" ht="45.0" customHeight="1"/>
    <row r="806" ht="45.0" customHeight="1"/>
    <row r="807" ht="45.0" customHeight="1"/>
    <row r="808" ht="45.0" customHeight="1"/>
    <row r="809" ht="45.0" customHeight="1"/>
    <row r="810" ht="45.0" customHeight="1"/>
    <row r="811" ht="45.0" customHeight="1"/>
    <row r="812" ht="45.0" customHeight="1"/>
    <row r="813" ht="45.0" customHeight="1"/>
    <row r="814" ht="45.0" customHeight="1"/>
    <row r="815" ht="45.0" customHeight="1"/>
    <row r="816" ht="45.0" customHeight="1"/>
    <row r="817" ht="45.0" customHeight="1"/>
    <row r="818" ht="45.0" customHeight="1"/>
    <row r="819" ht="45.0" customHeight="1"/>
    <row r="820" ht="45.0" customHeight="1"/>
    <row r="821" ht="45.0" customHeight="1"/>
    <row r="822" ht="45.0" customHeight="1"/>
    <row r="823" ht="45.0" customHeight="1"/>
    <row r="824" ht="45.0" customHeight="1"/>
    <row r="825" ht="45.0" customHeight="1"/>
    <row r="826" ht="45.0" customHeight="1"/>
    <row r="827" ht="45.0" customHeight="1"/>
    <row r="828" ht="45.0" customHeight="1"/>
    <row r="829" ht="45.0" customHeight="1"/>
    <row r="830" ht="45.0" customHeight="1"/>
    <row r="831" ht="45.0" customHeight="1"/>
    <row r="832" ht="45.0" customHeight="1"/>
    <row r="833" ht="45.0" customHeight="1"/>
    <row r="834" ht="45.0" customHeight="1"/>
    <row r="835" ht="45.0" customHeight="1"/>
    <row r="836" ht="45.0" customHeight="1"/>
    <row r="837" ht="45.0" customHeight="1"/>
    <row r="838" ht="45.0" customHeight="1"/>
    <row r="839" ht="45.0" customHeight="1"/>
    <row r="840" ht="45.0" customHeight="1"/>
    <row r="841" ht="45.0" customHeight="1"/>
    <row r="842" ht="45.0" customHeight="1"/>
    <row r="843" ht="45.0" customHeight="1"/>
    <row r="844" ht="45.0" customHeight="1"/>
    <row r="845" ht="45.0" customHeight="1"/>
    <row r="846" ht="45.0" customHeight="1"/>
    <row r="847" ht="45.0" customHeight="1"/>
    <row r="848" ht="45.0" customHeight="1"/>
    <row r="849" ht="45.0" customHeight="1"/>
    <row r="850" ht="45.0" customHeight="1"/>
    <row r="851" ht="45.0" customHeight="1"/>
    <row r="852" ht="45.0" customHeight="1"/>
    <row r="853" ht="45.0" customHeight="1"/>
    <row r="854" ht="45.0" customHeight="1"/>
    <row r="855" ht="45.0" customHeight="1"/>
    <row r="856" ht="45.0" customHeight="1"/>
    <row r="857" ht="45.0" customHeight="1"/>
    <row r="858" ht="45.0" customHeight="1"/>
    <row r="859" ht="45.0" customHeight="1"/>
    <row r="860" ht="45.0" customHeight="1"/>
    <row r="861" ht="45.0" customHeight="1"/>
    <row r="862" ht="45.0" customHeight="1"/>
    <row r="863" ht="45.0" customHeight="1"/>
    <row r="864" ht="45.0" customHeight="1"/>
    <row r="865" ht="45.0" customHeight="1"/>
    <row r="866" ht="45.0" customHeight="1"/>
    <row r="867" ht="45.0" customHeight="1"/>
    <row r="868" ht="45.0" customHeight="1"/>
    <row r="869" ht="45.0" customHeight="1"/>
    <row r="870" ht="45.0" customHeight="1"/>
    <row r="871" ht="45.0" customHeight="1"/>
    <row r="872" ht="45.0" customHeight="1"/>
    <row r="873" ht="45.0" customHeight="1"/>
    <row r="874" ht="45.0" customHeight="1"/>
    <row r="875" ht="45.0" customHeight="1"/>
    <row r="876" ht="45.0" customHeight="1"/>
    <row r="877" ht="45.0" customHeight="1"/>
    <row r="878" ht="45.0" customHeight="1"/>
    <row r="879" ht="45.0" customHeight="1"/>
    <row r="880" ht="45.0" customHeight="1"/>
    <row r="881" ht="45.0" customHeight="1"/>
    <row r="882" ht="45.0" customHeight="1"/>
    <row r="883" ht="45.0" customHeight="1"/>
    <row r="884" ht="45.0" customHeight="1"/>
    <row r="885" ht="45.0" customHeight="1"/>
    <row r="886" ht="45.0" customHeight="1"/>
    <row r="887" ht="45.0" customHeight="1"/>
    <row r="888" ht="45.0" customHeight="1"/>
    <row r="889" ht="45.0" customHeight="1"/>
    <row r="890" ht="45.0" customHeight="1"/>
    <row r="891" ht="45.0" customHeight="1"/>
    <row r="892" ht="45.0" customHeight="1"/>
    <row r="893" ht="45.0" customHeight="1"/>
    <row r="894" ht="45.0" customHeight="1"/>
    <row r="895" ht="45.0" customHeight="1"/>
    <row r="896" ht="45.0" customHeight="1"/>
    <row r="897" ht="45.0" customHeight="1"/>
    <row r="898" ht="45.0" customHeight="1"/>
    <row r="899" ht="45.0" customHeight="1"/>
    <row r="900" ht="45.0" customHeight="1"/>
    <row r="901" ht="45.0" customHeight="1"/>
    <row r="902" ht="45.0" customHeight="1"/>
    <row r="903" ht="45.0" customHeight="1"/>
    <row r="904" ht="45.0" customHeight="1"/>
    <row r="905" ht="45.0" customHeight="1"/>
    <row r="906" ht="45.0" customHeight="1"/>
    <row r="907" ht="45.0" customHeight="1"/>
    <row r="908" ht="45.0" customHeight="1"/>
    <row r="909" ht="45.0" customHeight="1"/>
    <row r="910" ht="45.0" customHeight="1"/>
    <row r="911" ht="45.0" customHeight="1"/>
    <row r="912" ht="45.0" customHeight="1"/>
    <row r="913" ht="45.0" customHeight="1"/>
    <row r="914" ht="45.0" customHeight="1"/>
    <row r="915" ht="45.0" customHeight="1"/>
    <row r="916" ht="45.0" customHeight="1"/>
    <row r="917" ht="45.0" customHeight="1"/>
    <row r="918" ht="45.0" customHeight="1"/>
    <row r="919" ht="45.0" customHeight="1"/>
    <row r="920" ht="45.0" customHeight="1"/>
    <row r="921" ht="45.0" customHeight="1"/>
    <row r="922" ht="45.0" customHeight="1"/>
    <row r="923" ht="45.0" customHeight="1"/>
    <row r="924" ht="45.0" customHeight="1"/>
    <row r="925" ht="45.0" customHeight="1"/>
    <row r="926" ht="45.0" customHeight="1"/>
    <row r="927" ht="45.0" customHeight="1"/>
    <row r="928" ht="45.0" customHeight="1"/>
    <row r="929" ht="45.0" customHeight="1"/>
    <row r="930" ht="45.0" customHeight="1"/>
    <row r="931" ht="45.0" customHeight="1"/>
    <row r="932" ht="45.0" customHeight="1"/>
    <row r="933" ht="45.0" customHeight="1"/>
    <row r="934" ht="45.0" customHeight="1"/>
    <row r="935" ht="45.0" customHeight="1"/>
    <row r="936" ht="45.0" customHeight="1"/>
    <row r="937" ht="45.0" customHeight="1"/>
    <row r="938" ht="45.0" customHeight="1"/>
    <row r="939" ht="45.0" customHeight="1"/>
    <row r="940" ht="45.0" customHeight="1"/>
    <row r="941" ht="45.0" customHeight="1"/>
    <row r="942" ht="45.0" customHeight="1"/>
    <row r="943" ht="45.0" customHeight="1"/>
    <row r="944" ht="45.0" customHeight="1"/>
    <row r="945" ht="45.0" customHeight="1"/>
    <row r="946" ht="45.0" customHeight="1"/>
    <row r="947" ht="45.0" customHeight="1"/>
    <row r="948" ht="45.0" customHeight="1"/>
    <row r="949" ht="45.0" customHeight="1"/>
    <row r="950" ht="45.0" customHeight="1"/>
    <row r="951" ht="45.0" customHeight="1"/>
    <row r="952" ht="45.0" customHeight="1"/>
    <row r="953" ht="45.0" customHeight="1"/>
    <row r="954" ht="45.0" customHeight="1"/>
    <row r="955" ht="45.0" customHeight="1"/>
    <row r="956" ht="45.0" customHeight="1"/>
    <row r="957" ht="45.0" customHeight="1"/>
    <row r="958" ht="45.0" customHeight="1"/>
    <row r="959" ht="45.0" customHeight="1"/>
    <row r="960" ht="45.0" customHeight="1"/>
    <row r="961" ht="45.0" customHeight="1"/>
    <row r="962" ht="45.0" customHeight="1"/>
    <row r="963" ht="45.0" customHeight="1"/>
    <row r="964" ht="45.0" customHeight="1"/>
    <row r="965" ht="45.0" customHeight="1"/>
    <row r="966" ht="45.0" customHeight="1"/>
    <row r="967" ht="45.0" customHeight="1"/>
    <row r="968" ht="45.0" customHeight="1"/>
    <row r="969" ht="45.0" customHeight="1"/>
    <row r="970" ht="45.0" customHeight="1"/>
    <row r="971" ht="45.0" customHeight="1"/>
    <row r="972" ht="45.0" customHeight="1"/>
    <row r="973" ht="45.0" customHeight="1"/>
    <row r="974" ht="45.0" customHeight="1"/>
    <row r="975" ht="45.0" customHeight="1"/>
    <row r="976" ht="45.0" customHeight="1"/>
    <row r="977" ht="45.0" customHeight="1"/>
    <row r="978" ht="45.0" customHeight="1"/>
    <row r="979" ht="45.0" customHeight="1"/>
    <row r="980" ht="45.0" customHeight="1"/>
    <row r="981" ht="45.0" customHeight="1"/>
    <row r="982" ht="45.0" customHeight="1"/>
    <row r="983" ht="45.0" customHeight="1"/>
    <row r="984" ht="45.0" customHeight="1"/>
    <row r="985" ht="45.0" customHeight="1"/>
    <row r="986" ht="45.0" customHeight="1"/>
    <row r="987" ht="45.0" customHeight="1"/>
    <row r="988" ht="45.0" customHeight="1"/>
    <row r="989" ht="45.0" customHeight="1"/>
    <row r="990" ht="45.0" customHeight="1"/>
    <row r="991" ht="45.0" customHeight="1"/>
    <row r="992" ht="45.0" customHeight="1"/>
    <row r="993" ht="45.0" customHeight="1"/>
    <row r="994" ht="45.0" customHeight="1"/>
    <row r="995" ht="45.0" customHeight="1"/>
    <row r="996" ht="45.0" customHeight="1"/>
    <row r="997" ht="45.0" customHeight="1"/>
    <row r="998" ht="45.0" customHeight="1"/>
    <row r="999" ht="45.0" customHeight="1"/>
    <row r="1000" ht="45.0" customHeight="1"/>
    <row r="1001" ht="45.0" customHeight="1"/>
    <row r="1002" ht="45.0" customHeight="1"/>
  </sheetData>
  <mergeCells count="5">
    <mergeCell ref="B2:C2"/>
    <mergeCell ref="E2:F2"/>
    <mergeCell ref="H3:H4"/>
    <mergeCell ref="I3:I4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88"/>
    <col customWidth="1" min="3" max="3" width="19.38"/>
    <col customWidth="1" min="4" max="4" width="17.13"/>
    <col customWidth="1" min="5" max="8" width="19.38"/>
    <col customWidth="1" min="9" max="9" width="24.63"/>
    <col customWidth="1" min="10" max="13" width="19.38"/>
    <col customWidth="1" min="14" max="14" width="7.13"/>
    <col customWidth="1" min="15" max="30" width="19.38"/>
  </cols>
  <sheetData>
    <row r="1" ht="27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33.75" customHeight="1">
      <c r="A2" s="2"/>
      <c r="B2" s="87" t="s">
        <v>53</v>
      </c>
      <c r="C2" s="88" t="s">
        <v>54</v>
      </c>
      <c r="D2" s="88" t="s">
        <v>55</v>
      </c>
      <c r="E2" s="88" t="s">
        <v>56</v>
      </c>
      <c r="F2" s="88" t="s">
        <v>57</v>
      </c>
      <c r="G2" s="88" t="s">
        <v>58</v>
      </c>
      <c r="H2" s="88" t="s">
        <v>59</v>
      </c>
      <c r="I2" s="88" t="s">
        <v>60</v>
      </c>
      <c r="J2" s="88" t="s">
        <v>61</v>
      </c>
      <c r="K2" s="88" t="s">
        <v>62</v>
      </c>
      <c r="L2" s="88" t="s">
        <v>63</v>
      </c>
      <c r="M2" s="89" t="s">
        <v>64</v>
      </c>
      <c r="N2" s="2"/>
      <c r="O2" s="7" t="s">
        <v>65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64.5" customHeight="1">
      <c r="A3" s="2"/>
      <c r="B3" s="90">
        <v>1.0</v>
      </c>
      <c r="C3" s="53" t="s">
        <v>66</v>
      </c>
      <c r="D3" s="72">
        <v>46047.0</v>
      </c>
      <c r="E3" s="72">
        <v>46122.0</v>
      </c>
      <c r="F3" s="72">
        <v>46274.0</v>
      </c>
      <c r="G3" s="62">
        <v>74000.0</v>
      </c>
      <c r="H3" s="62">
        <v>3404.0</v>
      </c>
      <c r="I3" s="91">
        <f t="shared" ref="I3:I5" si="1">round(G3/J3, 2)</f>
        <v>12333.33</v>
      </c>
      <c r="J3" s="62">
        <v>6.0</v>
      </c>
      <c r="K3" s="62">
        <f t="shared" ref="K3:K5" si="2">I3*J3</f>
        <v>73999.98</v>
      </c>
      <c r="L3" s="62">
        <f>SUM(G3,H3)</f>
        <v>77404</v>
      </c>
      <c r="M3" s="92" t="s">
        <v>53</v>
      </c>
      <c r="N3" s="2"/>
      <c r="O3" s="93">
        <f>L6</f>
        <v>163852.72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64.5" customHeight="1">
      <c r="A4" s="2"/>
      <c r="B4" s="90">
        <v>2.0</v>
      </c>
      <c r="C4" s="53" t="s">
        <v>66</v>
      </c>
      <c r="D4" s="72">
        <v>46215.0</v>
      </c>
      <c r="E4" s="72">
        <v>46243.0</v>
      </c>
      <c r="F4" s="72">
        <v>46335.0</v>
      </c>
      <c r="G4" s="62">
        <v>63300.0</v>
      </c>
      <c r="H4" s="62">
        <v>0.0</v>
      </c>
      <c r="I4" s="91">
        <f t="shared" si="1"/>
        <v>21100</v>
      </c>
      <c r="J4" s="62">
        <v>3.0</v>
      </c>
      <c r="K4" s="62">
        <f t="shared" si="2"/>
        <v>63300</v>
      </c>
      <c r="L4" s="62">
        <f>G4+H4</f>
        <v>63300</v>
      </c>
      <c r="M4" s="92" t="s">
        <v>53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64.5" customHeight="1">
      <c r="A5" s="2"/>
      <c r="B5" s="90">
        <v>3.0</v>
      </c>
      <c r="C5" s="53" t="s">
        <v>66</v>
      </c>
      <c r="D5" s="72">
        <v>46218.0</v>
      </c>
      <c r="E5" s="72">
        <v>46243.0</v>
      </c>
      <c r="F5" s="72">
        <v>46335.0</v>
      </c>
      <c r="G5" s="62">
        <v>23148.72</v>
      </c>
      <c r="H5" s="62">
        <v>0.0</v>
      </c>
      <c r="I5" s="91">
        <f t="shared" si="1"/>
        <v>7716.24</v>
      </c>
      <c r="J5" s="62">
        <v>3.0</v>
      </c>
      <c r="K5" s="62">
        <f t="shared" si="2"/>
        <v>23148.72</v>
      </c>
      <c r="L5" s="62">
        <f>SUM(G5,H5)</f>
        <v>23148.72</v>
      </c>
      <c r="M5" s="92" t="s">
        <v>53</v>
      </c>
      <c r="N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27.75" customHeight="1">
      <c r="A6" s="2"/>
      <c r="B6" s="94" t="s">
        <v>67</v>
      </c>
      <c r="C6" s="10"/>
      <c r="D6" s="10"/>
      <c r="E6" s="95">
        <f>MIN(E3:E5)</f>
        <v>46122</v>
      </c>
      <c r="F6" s="95">
        <f>MAX(F3:F5)</f>
        <v>46335</v>
      </c>
      <c r="G6" s="96">
        <f t="shared" ref="G6:I6" si="3">SUM(G3:G5)</f>
        <v>160448.72</v>
      </c>
      <c r="H6" s="96">
        <f t="shared" si="3"/>
        <v>3404</v>
      </c>
      <c r="I6" s="96">
        <f t="shared" si="3"/>
        <v>41149.57</v>
      </c>
      <c r="J6" s="96">
        <f>MAX(J3:J5)</f>
        <v>6</v>
      </c>
      <c r="K6" s="96">
        <f t="shared" ref="K6:L6" si="4">SUM(K3:K5)</f>
        <v>160448.7</v>
      </c>
      <c r="L6" s="96">
        <f t="shared" si="4"/>
        <v>163852.72</v>
      </c>
      <c r="M6" s="97" t="s">
        <v>53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33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33.75" customHeight="1">
      <c r="A8" s="2"/>
      <c r="B8" s="2"/>
      <c r="C8" s="2"/>
      <c r="D8" s="2"/>
      <c r="E8" s="2"/>
      <c r="F8" s="2"/>
      <c r="G8" s="2"/>
      <c r="H8" s="2"/>
      <c r="I8" s="2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33.75" customHeight="1">
      <c r="A9" s="2"/>
      <c r="B9" s="2"/>
      <c r="C9" s="2"/>
      <c r="D9" s="2"/>
      <c r="E9" s="2"/>
      <c r="F9" s="2"/>
      <c r="G9" s="2"/>
      <c r="H9" s="1"/>
      <c r="I9" s="1"/>
      <c r="J9" s="2"/>
      <c r="K9" s="2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33.75" customHeight="1">
      <c r="A10" s="2"/>
      <c r="B10" s="2"/>
      <c r="C10" s="2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33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33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33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33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33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33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33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33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33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33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33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33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33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33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33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33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33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3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3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33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3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3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3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3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33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3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3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3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33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33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33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33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33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3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33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3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33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3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33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3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33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33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33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33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33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33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33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33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33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33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33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33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33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33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33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33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33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33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33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33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33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33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33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33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33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33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33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33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33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33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33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33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33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33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33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33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33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33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33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33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33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33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33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33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33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33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33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33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33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33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33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33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33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33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33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33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33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33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33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33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33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33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1">
    <mergeCell ref="B6:D6"/>
  </mergeCells>
  <dataValidations>
    <dataValidation type="list" allowBlank="1" showErrorMessage="1" sqref="M3:M6">
      <formula1>"No,Yes"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2.75"/>
    <col customWidth="1" min="3" max="3" width="17.13"/>
    <col customWidth="1" min="4" max="8" width="19.38"/>
    <col customWidth="1" min="9" max="9" width="24.63"/>
    <col customWidth="1" min="10" max="10" width="19.38"/>
    <col customWidth="1" min="11" max="11" width="25.75"/>
    <col customWidth="1" min="12" max="14" width="19.38"/>
    <col customWidth="1" min="15" max="15" width="7.13"/>
    <col customWidth="1" min="16" max="31" width="19.38"/>
  </cols>
  <sheetData>
    <row r="1" ht="27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33.75" customHeight="1">
      <c r="A2" s="2"/>
      <c r="B2" s="87" t="s">
        <v>53</v>
      </c>
      <c r="C2" s="88" t="s">
        <v>68</v>
      </c>
      <c r="D2" s="88" t="s">
        <v>69</v>
      </c>
      <c r="E2" s="88" t="s">
        <v>70</v>
      </c>
      <c r="F2" s="88" t="s">
        <v>71</v>
      </c>
      <c r="G2" s="88" t="s">
        <v>72</v>
      </c>
      <c r="H2" s="98" t="s">
        <v>73</v>
      </c>
      <c r="I2" s="88" t="s">
        <v>74</v>
      </c>
      <c r="J2" s="88" t="s">
        <v>75</v>
      </c>
      <c r="K2" s="88" t="s">
        <v>74</v>
      </c>
      <c r="L2" s="88" t="s">
        <v>76</v>
      </c>
      <c r="M2" s="88" t="s">
        <v>77</v>
      </c>
      <c r="N2" s="89" t="s">
        <v>78</v>
      </c>
      <c r="O2" s="2"/>
      <c r="P2" s="7" t="s">
        <v>79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64.5" customHeight="1">
      <c r="A3" s="2"/>
      <c r="B3" s="90">
        <v>1.0</v>
      </c>
      <c r="C3" s="72">
        <v>45979.0</v>
      </c>
      <c r="D3" s="99">
        <v>0.9381944444444444</v>
      </c>
      <c r="E3" s="53" t="s">
        <v>80</v>
      </c>
      <c r="F3" s="72">
        <v>46406.0</v>
      </c>
      <c r="G3" s="53" t="s">
        <v>81</v>
      </c>
      <c r="H3" s="53" t="s">
        <v>82</v>
      </c>
      <c r="I3" s="100" t="s">
        <v>83</v>
      </c>
      <c r="J3" s="100" t="s">
        <v>84</v>
      </c>
      <c r="K3" s="100" t="s">
        <v>85</v>
      </c>
      <c r="L3" s="62">
        <v>130000.0</v>
      </c>
      <c r="M3" s="62">
        <v>160550.0</v>
      </c>
      <c r="N3" s="92">
        <f t="shared" ref="N3:N5" si="1">M3-L3</f>
        <v>30550</v>
      </c>
      <c r="O3" s="2"/>
      <c r="P3" s="93">
        <f>L6</f>
        <v>252000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64.5" customHeight="1">
      <c r="A4" s="2"/>
      <c r="B4" s="90">
        <v>2.0</v>
      </c>
      <c r="C4" s="72">
        <v>46048.0</v>
      </c>
      <c r="D4" s="99">
        <v>0.7743055555555556</v>
      </c>
      <c r="E4" s="53" t="s">
        <v>86</v>
      </c>
      <c r="F4" s="101">
        <v>46473.0</v>
      </c>
      <c r="G4" s="53" t="s">
        <v>81</v>
      </c>
      <c r="H4" s="53" t="s">
        <v>82</v>
      </c>
      <c r="I4" s="100" t="s">
        <v>87</v>
      </c>
      <c r="J4" s="53"/>
      <c r="K4" s="53"/>
      <c r="L4" s="62">
        <v>12000.0</v>
      </c>
      <c r="M4" s="62">
        <v>14520.0</v>
      </c>
      <c r="N4" s="92">
        <f t="shared" si="1"/>
        <v>2520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64.5" customHeight="1">
      <c r="A5" s="2"/>
      <c r="B5" s="90">
        <v>3.0</v>
      </c>
      <c r="C5" s="72">
        <v>46049.0</v>
      </c>
      <c r="D5" s="99">
        <v>0.48125</v>
      </c>
      <c r="E5" s="53" t="s">
        <v>80</v>
      </c>
      <c r="F5" s="72">
        <v>46353.0</v>
      </c>
      <c r="G5" s="53" t="s">
        <v>81</v>
      </c>
      <c r="H5" s="53" t="s">
        <v>82</v>
      </c>
      <c r="I5" s="100" t="s">
        <v>88</v>
      </c>
      <c r="J5" s="53"/>
      <c r="K5" s="53"/>
      <c r="L5" s="62">
        <v>110000.0</v>
      </c>
      <c r="M5" s="62">
        <v>128150.0</v>
      </c>
      <c r="N5" s="92">
        <f t="shared" si="1"/>
        <v>18150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7.75" customHeight="1">
      <c r="A6" s="2"/>
      <c r="B6" s="94" t="s">
        <v>67</v>
      </c>
      <c r="C6" s="10"/>
      <c r="D6" s="10"/>
      <c r="E6" s="10"/>
      <c r="F6" s="10"/>
      <c r="G6" s="10"/>
      <c r="H6" s="10"/>
      <c r="I6" s="10"/>
      <c r="J6" s="10"/>
      <c r="K6" s="10"/>
      <c r="L6" s="96">
        <f t="shared" ref="L6:N6" si="2">SUM(L3:L5)</f>
        <v>252000</v>
      </c>
      <c r="M6" s="102">
        <f t="shared" si="2"/>
        <v>303220</v>
      </c>
      <c r="N6" s="103">
        <f t="shared" si="2"/>
        <v>51220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33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33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33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33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33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33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33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33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33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33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33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33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33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33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33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33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33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33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33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33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33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3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3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33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3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3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3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3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33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3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3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3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33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33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33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33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33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3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33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3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33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3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33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3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33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33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33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33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33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33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33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33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33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33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33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33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33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33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33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33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33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33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33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33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33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33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33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33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33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33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33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33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33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33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33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33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33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33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33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33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33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33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33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33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33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33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33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33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33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33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33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33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33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33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33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33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33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33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33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33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33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33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33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33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33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33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1">
    <mergeCell ref="B6:K6"/>
  </mergeCells>
  <hyperlinks>
    <hyperlink r:id="rId1" ref="I3"/>
    <hyperlink r:id="rId2" ref="J3"/>
    <hyperlink r:id="rId3" ref="K3"/>
    <hyperlink r:id="rId4" ref="I4"/>
    <hyperlink r:id="rId5" ref="I5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88"/>
    <col customWidth="1" min="3" max="3" width="19.38"/>
    <col customWidth="1" min="4" max="4" width="17.13"/>
    <col customWidth="1" min="5" max="8" width="19.38"/>
    <col customWidth="1" min="9" max="9" width="24.63"/>
    <col customWidth="1" min="10" max="13" width="19.38"/>
    <col customWidth="1" min="14" max="14" width="7.13"/>
    <col customWidth="1" min="15" max="30" width="19.38"/>
  </cols>
  <sheetData>
    <row r="1" ht="27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33.75" customHeight="1">
      <c r="A2" s="2"/>
      <c r="B2" s="87" t="s">
        <v>53</v>
      </c>
      <c r="C2" s="88" t="s">
        <v>54</v>
      </c>
      <c r="D2" s="88" t="s">
        <v>55</v>
      </c>
      <c r="E2" s="88" t="s">
        <v>56</v>
      </c>
      <c r="F2" s="88" t="s">
        <v>57</v>
      </c>
      <c r="G2" s="88" t="s">
        <v>58</v>
      </c>
      <c r="H2" s="88" t="s">
        <v>59</v>
      </c>
      <c r="I2" s="88" t="s">
        <v>60</v>
      </c>
      <c r="J2" s="88" t="s">
        <v>61</v>
      </c>
      <c r="K2" s="88" t="s">
        <v>62</v>
      </c>
      <c r="L2" s="88" t="s">
        <v>63</v>
      </c>
      <c r="M2" s="89" t="s">
        <v>64</v>
      </c>
      <c r="N2" s="2"/>
      <c r="O2" s="7" t="s">
        <v>65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64.5" customHeight="1">
      <c r="A3" s="2"/>
      <c r="B3" s="90">
        <v>1.0</v>
      </c>
      <c r="C3" s="53" t="s">
        <v>89</v>
      </c>
      <c r="D3" s="72">
        <v>46048.0</v>
      </c>
      <c r="E3" s="101">
        <v>46079.0</v>
      </c>
      <c r="F3" s="72">
        <v>46138.0</v>
      </c>
      <c r="G3" s="62">
        <v>45000.0</v>
      </c>
      <c r="H3" s="62">
        <f>round(373.75+K3-G3,0)</f>
        <v>1277</v>
      </c>
      <c r="I3" s="62">
        <v>15301.0</v>
      </c>
      <c r="J3" s="62">
        <v>3.0</v>
      </c>
      <c r="K3" s="62">
        <f t="shared" ref="K3:K4" si="1">I3*J3</f>
        <v>45903</v>
      </c>
      <c r="L3" s="62">
        <f t="shared" ref="L3:L4" si="2">SUM(G3,H3)</f>
        <v>46277</v>
      </c>
      <c r="M3" s="92" t="s">
        <v>90</v>
      </c>
      <c r="N3" s="2"/>
      <c r="O3" s="93">
        <f>L7</f>
        <v>176008.6667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64.5" customHeight="1">
      <c r="A4" s="2"/>
      <c r="B4" s="90">
        <v>2.0</v>
      </c>
      <c r="C4" s="53" t="s">
        <v>43</v>
      </c>
      <c r="D4" s="72">
        <v>46047.0</v>
      </c>
      <c r="E4" s="72">
        <v>46122.0</v>
      </c>
      <c r="F4" s="101">
        <v>46275.0</v>
      </c>
      <c r="G4" s="62">
        <v>74000.0</v>
      </c>
      <c r="H4" s="62">
        <v>3404.0</v>
      </c>
      <c r="I4" s="91">
        <f>round(G4/J4, 2)</f>
        <v>12333.33</v>
      </c>
      <c r="J4" s="62">
        <v>6.0</v>
      </c>
      <c r="K4" s="62">
        <f t="shared" si="1"/>
        <v>73999.98</v>
      </c>
      <c r="L4" s="62">
        <f t="shared" si="2"/>
        <v>77404</v>
      </c>
      <c r="M4" s="92" t="s">
        <v>53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64.5" customHeight="1">
      <c r="A5" s="2"/>
      <c r="B5" s="90">
        <v>3.0</v>
      </c>
      <c r="C5" s="53" t="s">
        <v>45</v>
      </c>
      <c r="D5" s="72">
        <v>46082.0</v>
      </c>
      <c r="E5" s="72">
        <v>46122.0</v>
      </c>
      <c r="F5" s="72">
        <v>46163.0</v>
      </c>
      <c r="G5" s="62">
        <v>50000.0</v>
      </c>
      <c r="H5" s="62">
        <f>G5*0.0115+(G5-G5/6*J5)*0.023+986</f>
        <v>2327.666667</v>
      </c>
      <c r="I5" s="91">
        <v>8826.14</v>
      </c>
      <c r="J5" s="62">
        <v>2.0</v>
      </c>
      <c r="K5" s="62">
        <f>I5*J5+(G5-G5/6*J5)</f>
        <v>50985.61333</v>
      </c>
      <c r="L5" s="62">
        <f t="shared" ref="L5:L6" si="3">G5+H5</f>
        <v>52327.66667</v>
      </c>
      <c r="M5" s="92" t="s">
        <v>90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64.5" customHeight="1">
      <c r="A6" s="2"/>
      <c r="B6" s="90">
        <v>4.0</v>
      </c>
      <c r="C6" s="53" t="s">
        <v>43</v>
      </c>
      <c r="D6" s="72">
        <v>46215.0</v>
      </c>
      <c r="E6" s="72">
        <v>46215.0</v>
      </c>
      <c r="F6" s="72">
        <v>46305.0</v>
      </c>
      <c r="G6" s="62">
        <v>63300.0</v>
      </c>
      <c r="H6" s="62">
        <v>0.0</v>
      </c>
      <c r="I6" s="91">
        <v>21100.0</v>
      </c>
      <c r="J6" s="62">
        <v>3.0</v>
      </c>
      <c r="K6" s="62">
        <v>63300.0</v>
      </c>
      <c r="L6" s="62">
        <f t="shared" si="3"/>
        <v>63300</v>
      </c>
      <c r="M6" s="92" t="s">
        <v>53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27.75" customHeight="1">
      <c r="A7" s="2"/>
      <c r="B7" s="94" t="s">
        <v>67</v>
      </c>
      <c r="C7" s="10"/>
      <c r="D7" s="10"/>
      <c r="E7" s="10"/>
      <c r="F7" s="10"/>
      <c r="G7" s="96">
        <f t="shared" ref="G7:I7" si="4">SUM(G3:G6)</f>
        <v>232300</v>
      </c>
      <c r="H7" s="96">
        <f t="shared" si="4"/>
        <v>7008.666667</v>
      </c>
      <c r="I7" s="96">
        <f t="shared" si="4"/>
        <v>57560.47</v>
      </c>
      <c r="J7" s="96"/>
      <c r="K7" s="96">
        <f>SUM(K3:K6)</f>
        <v>234188.5933</v>
      </c>
      <c r="L7" s="96">
        <f>SUM(L3:L5)</f>
        <v>176008.6667</v>
      </c>
      <c r="M7" s="97" t="s">
        <v>53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33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33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33.75" customHeight="1">
      <c r="A10" s="2"/>
      <c r="B10" s="2"/>
      <c r="C10" s="2"/>
      <c r="D10" s="2"/>
      <c r="E10" s="2"/>
      <c r="F10" s="2"/>
      <c r="G10" s="2"/>
      <c r="H10" s="104">
        <f>L5-I5*2-675</f>
        <v>34000.38667</v>
      </c>
      <c r="I10" s="1"/>
      <c r="J10" s="2"/>
      <c r="K10" s="2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33.75" customHeight="1">
      <c r="A11" s="2"/>
      <c r="B11" s="2"/>
      <c r="C11" s="2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33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33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33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33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33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33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33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33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33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33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33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33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33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33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33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33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3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3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33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3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3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3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3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33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3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3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3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33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33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33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33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33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3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33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3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33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3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33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3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33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33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33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33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33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33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33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33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33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33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33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33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33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33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33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33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33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33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33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33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33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33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33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33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33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33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33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33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33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33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33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33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33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33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33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33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33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33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33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33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33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33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33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33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33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33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33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33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33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33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33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33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33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33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33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33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33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33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33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33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33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33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ht="33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</sheetData>
  <mergeCells count="1">
    <mergeCell ref="B7:F7"/>
  </mergeCells>
  <dataValidations>
    <dataValidation type="list" allowBlank="1" showErrorMessage="1" sqref="M3:M7">
      <formula1>"No,Yes"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9" width="19.38"/>
    <col customWidth="1" min="10" max="10" width="7.13"/>
    <col customWidth="1" min="11" max="26" width="19.38"/>
  </cols>
  <sheetData>
    <row r="1" ht="27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75" customHeight="1">
      <c r="A2" s="2"/>
      <c r="B2" s="105" t="s">
        <v>53</v>
      </c>
      <c r="C2" s="106" t="s">
        <v>91</v>
      </c>
      <c r="D2" s="106" t="s">
        <v>73</v>
      </c>
      <c r="E2" s="106" t="s">
        <v>92</v>
      </c>
      <c r="F2" s="106" t="s">
        <v>93</v>
      </c>
      <c r="G2" s="106" t="s">
        <v>94</v>
      </c>
      <c r="H2" s="106" t="s">
        <v>95</v>
      </c>
      <c r="I2" s="107" t="s">
        <v>96</v>
      </c>
      <c r="J2" s="2"/>
      <c r="K2" s="7" t="s">
        <v>97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75" customHeight="1">
      <c r="A3" s="2"/>
      <c r="B3" s="108">
        <v>1.0</v>
      </c>
      <c r="C3" s="75" t="s">
        <v>98</v>
      </c>
      <c r="D3" s="75" t="s">
        <v>99</v>
      </c>
      <c r="E3" s="75" t="s">
        <v>100</v>
      </c>
      <c r="F3" s="75">
        <v>101.0</v>
      </c>
      <c r="G3" s="109">
        <v>45837.0</v>
      </c>
      <c r="H3" s="53" t="s">
        <v>101</v>
      </c>
      <c r="I3" s="110">
        <v>50000.0</v>
      </c>
      <c r="J3" s="2"/>
      <c r="K3" s="22">
        <f>I9</f>
        <v>190000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75" customHeight="1">
      <c r="A4" s="2"/>
      <c r="B4" s="108">
        <v>2.0</v>
      </c>
      <c r="C4" s="75" t="s">
        <v>102</v>
      </c>
      <c r="D4" s="75" t="s">
        <v>103</v>
      </c>
      <c r="E4" s="75" t="s">
        <v>100</v>
      </c>
      <c r="F4" s="75">
        <v>102.0</v>
      </c>
      <c r="G4" s="111">
        <v>45910.0</v>
      </c>
      <c r="H4" s="53" t="s">
        <v>101</v>
      </c>
      <c r="I4" s="110">
        <v>9000.0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75" customHeight="1">
      <c r="A5" s="2"/>
      <c r="B5" s="108">
        <v>3.0</v>
      </c>
      <c r="C5" s="53" t="s">
        <v>102</v>
      </c>
      <c r="D5" s="75" t="s">
        <v>103</v>
      </c>
      <c r="E5" s="75" t="s">
        <v>100</v>
      </c>
      <c r="F5" s="75">
        <v>103.0</v>
      </c>
      <c r="G5" s="72">
        <v>45938.0</v>
      </c>
      <c r="H5" s="53" t="s">
        <v>101</v>
      </c>
      <c r="I5" s="112">
        <v>12000.0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2"/>
      <c r="B6" s="90">
        <v>4.0</v>
      </c>
      <c r="C6" s="53" t="s">
        <v>86</v>
      </c>
      <c r="D6" s="75" t="s">
        <v>103</v>
      </c>
      <c r="E6" s="75" t="s">
        <v>100</v>
      </c>
      <c r="F6" s="53">
        <v>104.0</v>
      </c>
      <c r="G6" s="72">
        <v>45971.0</v>
      </c>
      <c r="H6" s="53" t="s">
        <v>101</v>
      </c>
      <c r="I6" s="112">
        <v>12000.0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2"/>
      <c r="B7" s="90">
        <v>5.0</v>
      </c>
      <c r="C7" s="53" t="s">
        <v>80</v>
      </c>
      <c r="D7" s="75" t="s">
        <v>103</v>
      </c>
      <c r="E7" s="75" t="s">
        <v>100</v>
      </c>
      <c r="F7" s="53">
        <v>105.0</v>
      </c>
      <c r="G7" s="72">
        <v>46000.0</v>
      </c>
      <c r="H7" s="53" t="s">
        <v>101</v>
      </c>
      <c r="I7" s="112">
        <v>12000.0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2"/>
      <c r="B8" s="90">
        <v>6.0</v>
      </c>
      <c r="C8" s="53" t="s">
        <v>86</v>
      </c>
      <c r="D8" s="53" t="s">
        <v>36</v>
      </c>
      <c r="E8" s="53" t="s">
        <v>104</v>
      </c>
      <c r="F8" s="53">
        <v>106.0</v>
      </c>
      <c r="G8" s="72">
        <v>46097.0</v>
      </c>
      <c r="H8" s="53" t="s">
        <v>101</v>
      </c>
      <c r="I8" s="112">
        <v>95000.0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2"/>
      <c r="B9" s="94" t="s">
        <v>67</v>
      </c>
      <c r="C9" s="10"/>
      <c r="D9" s="10"/>
      <c r="E9" s="10"/>
      <c r="F9" s="10"/>
      <c r="G9" s="10"/>
      <c r="H9" s="10"/>
      <c r="I9" s="103">
        <f>SUM(I3:I8)</f>
        <v>190000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3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3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3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3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3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3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3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3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3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3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3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3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3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3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3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3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3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3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3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3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3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3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3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3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3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3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3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3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3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3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3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3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3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3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3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3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3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3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3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3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3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3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3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3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3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3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3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3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3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3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3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3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3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3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3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3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3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3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3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3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3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3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33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33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33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">
    <mergeCell ref="B9:H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3" max="3" width="35.25"/>
  </cols>
  <sheetData>
    <row r="1" ht="18.0" customHeight="1">
      <c r="A1" s="113"/>
      <c r="B1" s="114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ht="18.0" customHeight="1">
      <c r="A2" s="113"/>
      <c r="B2" s="115" t="s">
        <v>105</v>
      </c>
      <c r="C2" s="116" t="s">
        <v>106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ht="639.75" customHeight="1">
      <c r="A3" s="113"/>
      <c r="B3" s="117">
        <v>103.0</v>
      </c>
      <c r="C3" s="118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765.75" customHeight="1">
      <c r="A4" s="113"/>
      <c r="B4" s="117">
        <v>104.0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729.0" customHeight="1">
      <c r="A5" s="113"/>
      <c r="B5" s="119">
        <v>105.0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>
      <c r="A6" s="113"/>
      <c r="B6" s="114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>
      <c r="A7" s="113"/>
      <c r="B7" s="114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>
      <c r="A8" s="113"/>
      <c r="B8" s="114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>
      <c r="A9" s="113"/>
      <c r="B9" s="114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113"/>
      <c r="B10" s="114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>
      <c r="A11" s="113"/>
      <c r="B11" s="114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>
      <c r="A12" s="113"/>
      <c r="B12" s="114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>
      <c r="A13" s="113"/>
      <c r="B13" s="114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>
      <c r="A14" s="113"/>
      <c r="B14" s="114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>
      <c r="A15" s="113"/>
      <c r="B15" s="114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>
      <c r="A16" s="113"/>
      <c r="B16" s="114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113"/>
      <c r="B17" s="114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>
      <c r="A18" s="113"/>
      <c r="B18" s="114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>
      <c r="A19" s="113"/>
      <c r="B19" s="114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>
      <c r="A20" s="113"/>
      <c r="B20" s="114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>
      <c r="A21" s="113"/>
      <c r="B21" s="114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>
      <c r="A22" s="113"/>
      <c r="B22" s="114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>
      <c r="A23" s="113"/>
      <c r="B23" s="114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13"/>
      <c r="B24" s="114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>
      <c r="A25" s="113"/>
      <c r="B25" s="114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>
      <c r="A26" s="113"/>
      <c r="B26" s="114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>
      <c r="A27" s="113"/>
      <c r="B27" s="114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>
      <c r="A28" s="113"/>
      <c r="B28" s="114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>
      <c r="A29" s="113"/>
      <c r="B29" s="114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>
      <c r="A30" s="113"/>
      <c r="B30" s="114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>
      <c r="A31" s="113"/>
      <c r="B31" s="114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>
      <c r="A32" s="113"/>
      <c r="B32" s="114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>
      <c r="A33" s="113"/>
      <c r="B33" s="114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>
      <c r="A34" s="113"/>
      <c r="B34" s="114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>
      <c r="A35" s="113"/>
      <c r="B35" s="114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>
      <c r="A36" s="113"/>
      <c r="B36" s="114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>
      <c r="A37" s="113"/>
      <c r="B37" s="114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>
      <c r="A38" s="113"/>
      <c r="B38" s="114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>
      <c r="A39" s="113"/>
      <c r="B39" s="114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>
      <c r="A40" s="113"/>
      <c r="B40" s="114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>
      <c r="A41" s="113"/>
      <c r="B41" s="114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>
      <c r="A42" s="113"/>
      <c r="B42" s="114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>
      <c r="A43" s="113"/>
      <c r="B43" s="114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>
      <c r="A44" s="113"/>
      <c r="B44" s="114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>
      <c r="A45" s="113"/>
      <c r="B45" s="114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>
      <c r="A46" s="113"/>
      <c r="B46" s="114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>
      <c r="A47" s="113"/>
      <c r="B47" s="114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>
      <c r="A48" s="113"/>
      <c r="B48" s="114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>
      <c r="A49" s="113"/>
      <c r="B49" s="114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>
      <c r="A50" s="113"/>
      <c r="B50" s="114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>
      <c r="A51" s="113"/>
      <c r="B51" s="114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113"/>
      <c r="B52" s="114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>
      <c r="A53" s="113"/>
      <c r="B53" s="114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>
      <c r="A54" s="113"/>
      <c r="B54" s="114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>
      <c r="A55" s="113"/>
      <c r="B55" s="114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>
      <c r="A56" s="113"/>
      <c r="B56" s="114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>
      <c r="A57" s="113"/>
      <c r="B57" s="114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>
      <c r="A58" s="113"/>
      <c r="B58" s="114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>
      <c r="A59" s="113"/>
      <c r="B59" s="114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>
      <c r="A60" s="113"/>
      <c r="B60" s="114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>
      <c r="A61" s="113"/>
      <c r="B61" s="114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>
      <c r="A62" s="113"/>
      <c r="B62" s="114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>
      <c r="A63" s="113"/>
      <c r="B63" s="114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>
      <c r="A64" s="113"/>
      <c r="B64" s="114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>
      <c r="A65" s="113"/>
      <c r="B65" s="114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>
      <c r="A66" s="113"/>
      <c r="B66" s="114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>
      <c r="A67" s="113"/>
      <c r="B67" s="114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>
      <c r="A68" s="113"/>
      <c r="B68" s="114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>
      <c r="A69" s="113"/>
      <c r="B69" s="114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>
      <c r="A70" s="113"/>
      <c r="B70" s="114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>
      <c r="A71" s="113"/>
      <c r="B71" s="114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>
      <c r="A72" s="113"/>
      <c r="B72" s="114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>
      <c r="A73" s="113"/>
      <c r="B73" s="114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>
      <c r="A74" s="113"/>
      <c r="B74" s="114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>
      <c r="A75" s="113"/>
      <c r="B75" s="114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>
      <c r="A76" s="113"/>
      <c r="B76" s="114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>
      <c r="A77" s="113"/>
      <c r="B77" s="114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>
      <c r="A78" s="113"/>
      <c r="B78" s="114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>
      <c r="A79" s="113"/>
      <c r="B79" s="114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>
      <c r="A80" s="113"/>
      <c r="B80" s="114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>
      <c r="A81" s="113"/>
      <c r="B81" s="114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>
      <c r="A82" s="113"/>
      <c r="B82" s="114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>
      <c r="A83" s="113"/>
      <c r="B83" s="114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>
      <c r="A84" s="113"/>
      <c r="B84" s="114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>
      <c r="A85" s="113"/>
      <c r="B85" s="114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>
      <c r="A86" s="113"/>
      <c r="B86" s="114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>
      <c r="A87" s="113"/>
      <c r="B87" s="114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>
      <c r="A88" s="113"/>
      <c r="B88" s="114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>
      <c r="A89" s="113"/>
      <c r="B89" s="114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>
      <c r="A90" s="113"/>
      <c r="B90" s="114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>
      <c r="A91" s="113"/>
      <c r="B91" s="114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>
      <c r="A92" s="113"/>
      <c r="B92" s="114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>
      <c r="A93" s="113"/>
      <c r="B93" s="114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>
      <c r="A94" s="113"/>
      <c r="B94" s="114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>
      <c r="A95" s="113"/>
      <c r="B95" s="114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>
      <c r="A96" s="113"/>
      <c r="B96" s="114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>
      <c r="A97" s="113"/>
      <c r="B97" s="114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>
      <c r="A98" s="113"/>
      <c r="B98" s="114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>
      <c r="A99" s="113"/>
      <c r="B99" s="114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>
      <c r="A100" s="113"/>
      <c r="B100" s="114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>
      <c r="A101" s="113"/>
      <c r="B101" s="114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>
      <c r="A102" s="113"/>
      <c r="B102" s="114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>
      <c r="A103" s="113"/>
      <c r="B103" s="114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>
      <c r="A104" s="113"/>
      <c r="B104" s="114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>
      <c r="A105" s="113"/>
      <c r="B105" s="114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>
      <c r="A106" s="113"/>
      <c r="B106" s="114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>
      <c r="A107" s="113"/>
      <c r="B107" s="114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>
      <c r="A108" s="113"/>
      <c r="B108" s="114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>
      <c r="A109" s="113"/>
      <c r="B109" s="114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>
      <c r="A110" s="113"/>
      <c r="B110" s="114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>
      <c r="A111" s="113"/>
      <c r="B111" s="114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>
      <c r="A112" s="113"/>
      <c r="B112" s="114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>
      <c r="A113" s="113"/>
      <c r="B113" s="114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>
      <c r="A114" s="113"/>
      <c r="B114" s="114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>
      <c r="A115" s="113"/>
      <c r="B115" s="114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>
      <c r="A116" s="113"/>
      <c r="B116" s="114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>
      <c r="A117" s="113"/>
      <c r="B117" s="114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>
      <c r="A118" s="113"/>
      <c r="B118" s="114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>
      <c r="A119" s="113"/>
      <c r="B119" s="114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>
      <c r="A120" s="113"/>
      <c r="B120" s="114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>
      <c r="A121" s="113"/>
      <c r="B121" s="11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>
      <c r="A122" s="113"/>
      <c r="B122" s="11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>
      <c r="A123" s="113"/>
      <c r="B123" s="114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>
      <c r="A124" s="113"/>
      <c r="B124" s="114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>
      <c r="A125" s="113"/>
      <c r="B125" s="114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>
      <c r="A126" s="113"/>
      <c r="B126" s="114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>
      <c r="A127" s="113"/>
      <c r="B127" s="114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>
      <c r="A128" s="113"/>
      <c r="B128" s="114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>
      <c r="A129" s="113"/>
      <c r="B129" s="114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>
      <c r="A130" s="113"/>
      <c r="B130" s="114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>
      <c r="A131" s="113"/>
      <c r="B131" s="114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>
      <c r="A132" s="113"/>
      <c r="B132" s="114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>
      <c r="A133" s="113"/>
      <c r="B133" s="114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>
      <c r="A134" s="113"/>
      <c r="B134" s="114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>
      <c r="A135" s="113"/>
      <c r="B135" s="114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>
      <c r="A136" s="113"/>
      <c r="B136" s="114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>
      <c r="A137" s="113"/>
      <c r="B137" s="114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>
      <c r="A138" s="113"/>
      <c r="B138" s="114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>
      <c r="A139" s="113"/>
      <c r="B139" s="114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>
      <c r="A140" s="113"/>
      <c r="B140" s="114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>
      <c r="A141" s="113"/>
      <c r="B141" s="114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>
      <c r="A142" s="113"/>
      <c r="B142" s="114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>
      <c r="A143" s="113"/>
      <c r="B143" s="114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>
      <c r="A144" s="113"/>
      <c r="B144" s="114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>
      <c r="A145" s="113"/>
      <c r="B145" s="114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>
      <c r="A146" s="113"/>
      <c r="B146" s="114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>
      <c r="A147" s="113"/>
      <c r="B147" s="114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>
      <c r="A148" s="113"/>
      <c r="B148" s="114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>
      <c r="A149" s="113"/>
      <c r="B149" s="114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>
      <c r="A150" s="113"/>
      <c r="B150" s="114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>
      <c r="A151" s="113"/>
      <c r="B151" s="114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>
      <c r="A152" s="113"/>
      <c r="B152" s="114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>
      <c r="A153" s="113"/>
      <c r="B153" s="114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>
      <c r="A154" s="113"/>
      <c r="B154" s="114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>
      <c r="A155" s="113"/>
      <c r="B155" s="114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>
      <c r="A156" s="113"/>
      <c r="B156" s="114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>
      <c r="A157" s="113"/>
      <c r="B157" s="114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>
      <c r="A158" s="113"/>
      <c r="B158" s="114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>
      <c r="A159" s="113"/>
      <c r="B159" s="114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>
      <c r="A160" s="113"/>
      <c r="B160" s="114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>
      <c r="A161" s="113"/>
      <c r="B161" s="114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>
      <c r="A162" s="113"/>
      <c r="B162" s="114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>
      <c r="A163" s="113"/>
      <c r="B163" s="114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>
      <c r="A164" s="113"/>
      <c r="B164" s="114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>
      <c r="A165" s="113"/>
      <c r="B165" s="114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>
      <c r="A166" s="113"/>
      <c r="B166" s="114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>
      <c r="A167" s="113"/>
      <c r="B167" s="114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>
      <c r="A168" s="113"/>
      <c r="B168" s="114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>
      <c r="A169" s="113"/>
      <c r="B169" s="114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>
      <c r="A170" s="113"/>
      <c r="B170" s="114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>
      <c r="A171" s="113"/>
      <c r="B171" s="114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>
      <c r="A172" s="113"/>
      <c r="B172" s="114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>
      <c r="A173" s="113"/>
      <c r="B173" s="114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>
      <c r="A174" s="113"/>
      <c r="B174" s="114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>
      <c r="A175" s="113"/>
      <c r="B175" s="114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>
      <c r="A176" s="113"/>
      <c r="B176" s="114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>
      <c r="A177" s="113"/>
      <c r="B177" s="114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>
      <c r="A178" s="113"/>
      <c r="B178" s="114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>
      <c r="A179" s="113"/>
      <c r="B179" s="114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>
      <c r="A180" s="113"/>
      <c r="B180" s="114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>
      <c r="A181" s="113"/>
      <c r="B181" s="114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>
      <c r="A182" s="113"/>
      <c r="B182" s="114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4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4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4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4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4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4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4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4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4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4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4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4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4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4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4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4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4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4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>
      <c r="A201" s="113"/>
      <c r="B201" s="114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>
      <c r="A202" s="113"/>
      <c r="B202" s="114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>
      <c r="A203" s="113"/>
      <c r="B203" s="114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>
      <c r="A204" s="113"/>
      <c r="B204" s="114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>
      <c r="A205" s="113"/>
      <c r="B205" s="114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>
      <c r="A206" s="113"/>
      <c r="B206" s="114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>
      <c r="A207" s="113"/>
      <c r="B207" s="114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>
      <c r="A208" s="113"/>
      <c r="B208" s="114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>
      <c r="A209" s="113"/>
      <c r="B209" s="114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>
      <c r="A210" s="113"/>
      <c r="B210" s="114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>
      <c r="A211" s="113"/>
      <c r="B211" s="114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>
      <c r="A212" s="113"/>
      <c r="B212" s="114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>
      <c r="A213" s="113"/>
      <c r="B213" s="114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>
      <c r="A214" s="113"/>
      <c r="B214" s="114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>
      <c r="A215" s="113"/>
      <c r="B215" s="114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>
      <c r="A216" s="113"/>
      <c r="B216" s="114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>
      <c r="A217" s="113"/>
      <c r="B217" s="114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>
      <c r="A218" s="113"/>
      <c r="B218" s="114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>
      <c r="A219" s="113"/>
      <c r="B219" s="114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>
      <c r="A220" s="113"/>
      <c r="B220" s="114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>
      <c r="A221" s="113"/>
      <c r="B221" s="114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>
      <c r="A222" s="113"/>
      <c r="B222" s="114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>
      <c r="A223" s="113"/>
      <c r="B223" s="114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>
      <c r="A224" s="113"/>
      <c r="B224" s="114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>
      <c r="A225" s="113"/>
      <c r="B225" s="114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>
      <c r="A226" s="113"/>
      <c r="B226" s="114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>
      <c r="A227" s="113"/>
      <c r="B227" s="114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>
      <c r="A228" s="113"/>
      <c r="B228" s="114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>
      <c r="A229" s="113"/>
      <c r="B229" s="114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>
      <c r="A230" s="113"/>
      <c r="B230" s="114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>
      <c r="A231" s="113"/>
      <c r="B231" s="114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>
      <c r="A232" s="113"/>
      <c r="B232" s="114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>
      <c r="A233" s="113"/>
      <c r="B233" s="114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>
      <c r="A234" s="113"/>
      <c r="B234" s="114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>
      <c r="A235" s="113"/>
      <c r="B235" s="114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>
      <c r="A236" s="113"/>
      <c r="B236" s="114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>
      <c r="A237" s="113"/>
      <c r="B237" s="114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>
      <c r="A238" s="113"/>
      <c r="B238" s="114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>
      <c r="A239" s="113"/>
      <c r="B239" s="114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>
      <c r="A240" s="113"/>
      <c r="B240" s="114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>
      <c r="A241" s="113"/>
      <c r="B241" s="114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>
      <c r="A242" s="113"/>
      <c r="B242" s="114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>
      <c r="A243" s="113"/>
      <c r="B243" s="114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>
      <c r="A244" s="113"/>
      <c r="B244" s="114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>
      <c r="A245" s="113"/>
      <c r="B245" s="114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>
      <c r="A246" s="113"/>
      <c r="B246" s="114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>
      <c r="A247" s="113"/>
      <c r="B247" s="114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>
      <c r="A248" s="113"/>
      <c r="B248" s="114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>
      <c r="A249" s="113"/>
      <c r="B249" s="114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>
      <c r="A250" s="113"/>
      <c r="B250" s="114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>
      <c r="A251" s="113"/>
      <c r="B251" s="114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>
      <c r="A252" s="113"/>
      <c r="B252" s="114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>
      <c r="A253" s="113"/>
      <c r="B253" s="114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>
      <c r="A254" s="113"/>
      <c r="B254" s="114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>
      <c r="A255" s="113"/>
      <c r="B255" s="114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>
      <c r="A256" s="113"/>
      <c r="B256" s="114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>
      <c r="A257" s="113"/>
      <c r="B257" s="114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>
      <c r="A258" s="113"/>
      <c r="B258" s="114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>
      <c r="A259" s="113"/>
      <c r="B259" s="114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>
      <c r="A260" s="113"/>
      <c r="B260" s="114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>
      <c r="A261" s="113"/>
      <c r="B261" s="114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>
      <c r="A262" s="113"/>
      <c r="B262" s="114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>
      <c r="A263" s="113"/>
      <c r="B263" s="114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>
      <c r="A264" s="113"/>
      <c r="B264" s="114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>
      <c r="A265" s="113"/>
      <c r="B265" s="114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>
      <c r="A266" s="113"/>
      <c r="B266" s="114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>
      <c r="A267" s="113"/>
      <c r="B267" s="114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>
      <c r="A268" s="113"/>
      <c r="B268" s="114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>
      <c r="A269" s="113"/>
      <c r="B269" s="114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>
      <c r="A270" s="113"/>
      <c r="B270" s="114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>
      <c r="A271" s="113"/>
      <c r="B271" s="114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>
      <c r="A272" s="113"/>
      <c r="B272" s="114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>
      <c r="A273" s="113"/>
      <c r="B273" s="114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>
      <c r="A274" s="113"/>
      <c r="B274" s="114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>
      <c r="A275" s="113"/>
      <c r="B275" s="114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>
      <c r="A276" s="113"/>
      <c r="B276" s="114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>
      <c r="A277" s="113"/>
      <c r="B277" s="114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>
      <c r="A278" s="113"/>
      <c r="B278" s="114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>
      <c r="A279" s="113"/>
      <c r="B279" s="114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>
      <c r="A280" s="113"/>
      <c r="B280" s="114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>
      <c r="A281" s="113"/>
      <c r="B281" s="114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>
      <c r="A282" s="113"/>
      <c r="B282" s="114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>
      <c r="A283" s="113"/>
      <c r="B283" s="114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>
      <c r="A284" s="113"/>
      <c r="B284" s="114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>
      <c r="A285" s="113"/>
      <c r="B285" s="114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>
      <c r="A286" s="113"/>
      <c r="B286" s="114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>
      <c r="A287" s="113"/>
      <c r="B287" s="114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>
      <c r="A288" s="113"/>
      <c r="B288" s="114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>
      <c r="A289" s="113"/>
      <c r="B289" s="114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>
      <c r="A290" s="113"/>
      <c r="B290" s="114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>
      <c r="A291" s="113"/>
      <c r="B291" s="114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>
      <c r="A292" s="113"/>
      <c r="B292" s="114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>
      <c r="A293" s="113"/>
      <c r="B293" s="114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>
      <c r="A294" s="113"/>
      <c r="B294" s="114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>
      <c r="A295" s="113"/>
      <c r="B295" s="114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>
      <c r="A296" s="113"/>
      <c r="B296" s="114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>
      <c r="A297" s="113"/>
      <c r="B297" s="114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>
      <c r="A298" s="113"/>
      <c r="B298" s="114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>
      <c r="A299" s="113"/>
      <c r="B299" s="114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>
      <c r="A300" s="113"/>
      <c r="B300" s="114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>
      <c r="A301" s="113"/>
      <c r="B301" s="114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>
      <c r="A302" s="113"/>
      <c r="B302" s="114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>
      <c r="A303" s="113"/>
      <c r="B303" s="114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>
      <c r="A304" s="113"/>
      <c r="B304" s="114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>
      <c r="A305" s="113"/>
      <c r="B305" s="114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>
      <c r="A306" s="113"/>
      <c r="B306" s="114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>
      <c r="A307" s="113"/>
      <c r="B307" s="114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>
      <c r="A308" s="113"/>
      <c r="B308" s="114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>
      <c r="A309" s="113"/>
      <c r="B309" s="114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>
      <c r="A310" s="113"/>
      <c r="B310" s="114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>
      <c r="A311" s="113"/>
      <c r="B311" s="114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>
      <c r="A312" s="113"/>
      <c r="B312" s="114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>
      <c r="A313" s="113"/>
      <c r="B313" s="114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>
      <c r="A314" s="113"/>
      <c r="B314" s="114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>
      <c r="A315" s="113"/>
      <c r="B315" s="114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>
      <c r="A316" s="113"/>
      <c r="B316" s="114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>
      <c r="A317" s="113"/>
      <c r="B317" s="114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>
      <c r="A318" s="113"/>
      <c r="B318" s="114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>
      <c r="A319" s="113"/>
      <c r="B319" s="114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>
      <c r="A320" s="113"/>
      <c r="B320" s="114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>
      <c r="A321" s="113"/>
      <c r="B321" s="114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>
      <c r="A322" s="113"/>
      <c r="B322" s="114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>
      <c r="A323" s="113"/>
      <c r="B323" s="114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>
      <c r="A324" s="113"/>
      <c r="B324" s="114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>
      <c r="A325" s="113"/>
      <c r="B325" s="114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>
      <c r="A326" s="113"/>
      <c r="B326" s="114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>
      <c r="A327" s="113"/>
      <c r="B327" s="114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>
      <c r="A328" s="113"/>
      <c r="B328" s="114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>
      <c r="A329" s="113"/>
      <c r="B329" s="114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>
      <c r="A330" s="113"/>
      <c r="B330" s="114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>
      <c r="A331" s="113"/>
      <c r="B331" s="114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>
      <c r="A332" s="113"/>
      <c r="B332" s="114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>
      <c r="A333" s="113"/>
      <c r="B333" s="114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>
      <c r="A334" s="113"/>
      <c r="B334" s="114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>
      <c r="A335" s="113"/>
      <c r="B335" s="114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>
      <c r="A336" s="113"/>
      <c r="B336" s="114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>
      <c r="A337" s="113"/>
      <c r="B337" s="114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>
      <c r="A338" s="113"/>
      <c r="B338" s="114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>
      <c r="A339" s="113"/>
      <c r="B339" s="114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>
      <c r="A340" s="113"/>
      <c r="B340" s="114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>
      <c r="A341" s="113"/>
      <c r="B341" s="114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>
      <c r="A342" s="113"/>
      <c r="B342" s="114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>
      <c r="A343" s="113"/>
      <c r="B343" s="114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>
      <c r="A344" s="113"/>
      <c r="B344" s="114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>
      <c r="A345" s="113"/>
      <c r="B345" s="114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>
      <c r="A346" s="113"/>
      <c r="B346" s="114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>
      <c r="A347" s="113"/>
      <c r="B347" s="114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>
      <c r="A348" s="113"/>
      <c r="B348" s="114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>
      <c r="A349" s="113"/>
      <c r="B349" s="114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>
      <c r="A350" s="113"/>
      <c r="B350" s="114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>
      <c r="A351" s="113"/>
      <c r="B351" s="114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>
      <c r="A352" s="113"/>
      <c r="B352" s="114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>
      <c r="A353" s="113"/>
      <c r="B353" s="114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>
      <c r="A354" s="113"/>
      <c r="B354" s="114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>
      <c r="A355" s="113"/>
      <c r="B355" s="114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>
      <c r="A356" s="113"/>
      <c r="B356" s="114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>
      <c r="A357" s="113"/>
      <c r="B357" s="114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>
      <c r="A358" s="113"/>
      <c r="B358" s="114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>
      <c r="A359" s="113"/>
      <c r="B359" s="114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>
      <c r="A360" s="113"/>
      <c r="B360" s="114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>
      <c r="A361" s="113"/>
      <c r="B361" s="114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>
      <c r="A362" s="113"/>
      <c r="B362" s="114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>
      <c r="A363" s="113"/>
      <c r="B363" s="114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>
      <c r="A364" s="113"/>
      <c r="B364" s="114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>
      <c r="A365" s="113"/>
      <c r="B365" s="114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>
      <c r="A366" s="113"/>
      <c r="B366" s="114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>
      <c r="A367" s="113"/>
      <c r="B367" s="114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>
      <c r="A368" s="113"/>
      <c r="B368" s="114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>
      <c r="A369" s="113"/>
      <c r="B369" s="114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>
      <c r="A370" s="113"/>
      <c r="B370" s="114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>
      <c r="A371" s="113"/>
      <c r="B371" s="114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>
      <c r="A372" s="113"/>
      <c r="B372" s="114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>
      <c r="A373" s="113"/>
      <c r="B373" s="114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>
      <c r="A374" s="113"/>
      <c r="B374" s="114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>
      <c r="A375" s="113"/>
      <c r="B375" s="114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>
      <c r="A376" s="113"/>
      <c r="B376" s="114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>
      <c r="A377" s="113"/>
      <c r="B377" s="114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>
      <c r="A378" s="113"/>
      <c r="B378" s="114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>
      <c r="A379" s="113"/>
      <c r="B379" s="114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>
      <c r="A380" s="113"/>
      <c r="B380" s="114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>
      <c r="A381" s="113"/>
      <c r="B381" s="114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>
      <c r="A382" s="113"/>
      <c r="B382" s="114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>
      <c r="A383" s="113"/>
      <c r="B383" s="114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>
      <c r="A384" s="113"/>
      <c r="B384" s="114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>
      <c r="A385" s="113"/>
      <c r="B385" s="114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>
      <c r="A386" s="113"/>
      <c r="B386" s="114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>
      <c r="A387" s="113"/>
      <c r="B387" s="114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>
      <c r="A388" s="113"/>
      <c r="B388" s="114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>
      <c r="A389" s="113"/>
      <c r="B389" s="114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>
      <c r="A390" s="113"/>
      <c r="B390" s="114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>
      <c r="A391" s="113"/>
      <c r="B391" s="114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>
      <c r="A392" s="113"/>
      <c r="B392" s="114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>
      <c r="A393" s="113"/>
      <c r="B393" s="114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>
      <c r="A394" s="113"/>
      <c r="B394" s="114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>
      <c r="A395" s="113"/>
      <c r="B395" s="114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>
      <c r="A396" s="113"/>
      <c r="B396" s="114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>
      <c r="A397" s="113"/>
      <c r="B397" s="114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>
      <c r="A398" s="113"/>
      <c r="B398" s="114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>
      <c r="A399" s="113"/>
      <c r="B399" s="114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>
      <c r="A400" s="113"/>
      <c r="B400" s="114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>
      <c r="A401" s="113"/>
      <c r="B401" s="114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>
      <c r="A402" s="113"/>
      <c r="B402" s="114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>
      <c r="A403" s="113"/>
      <c r="B403" s="114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>
      <c r="A404" s="113"/>
      <c r="B404" s="114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>
      <c r="A405" s="113"/>
      <c r="B405" s="114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>
      <c r="A406" s="113"/>
      <c r="B406" s="114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>
      <c r="A407" s="113"/>
      <c r="B407" s="114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>
      <c r="A408" s="113"/>
      <c r="B408" s="114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>
      <c r="A409" s="113"/>
      <c r="B409" s="114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>
      <c r="A410" s="113"/>
      <c r="B410" s="114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>
      <c r="A411" s="113"/>
      <c r="B411" s="114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>
      <c r="A412" s="113"/>
      <c r="B412" s="114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>
      <c r="A413" s="113"/>
      <c r="B413" s="114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>
      <c r="A414" s="113"/>
      <c r="B414" s="114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>
      <c r="A415" s="113"/>
      <c r="B415" s="114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>
      <c r="A416" s="113"/>
      <c r="B416" s="114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>
      <c r="A417" s="113"/>
      <c r="B417" s="114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>
      <c r="A418" s="113"/>
      <c r="B418" s="114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>
      <c r="A419" s="113"/>
      <c r="B419" s="114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>
      <c r="A420" s="113"/>
      <c r="B420" s="114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>
      <c r="A421" s="113"/>
      <c r="B421" s="114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>
      <c r="A422" s="113"/>
      <c r="B422" s="114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>
      <c r="A423" s="113"/>
      <c r="B423" s="114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>
      <c r="A424" s="113"/>
      <c r="B424" s="114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>
      <c r="A425" s="113"/>
      <c r="B425" s="114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>
      <c r="A426" s="113"/>
      <c r="B426" s="114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>
      <c r="A427" s="113"/>
      <c r="B427" s="114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>
      <c r="A428" s="113"/>
      <c r="B428" s="114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>
      <c r="A429" s="113"/>
      <c r="B429" s="114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>
      <c r="A430" s="113"/>
      <c r="B430" s="114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>
      <c r="A431" s="113"/>
      <c r="B431" s="114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>
      <c r="A432" s="113"/>
      <c r="B432" s="114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>
      <c r="A433" s="113"/>
      <c r="B433" s="114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>
      <c r="A434" s="113"/>
      <c r="B434" s="114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>
      <c r="A435" s="113"/>
      <c r="B435" s="114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>
      <c r="A436" s="113"/>
      <c r="B436" s="114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>
      <c r="A437" s="113"/>
      <c r="B437" s="114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>
      <c r="A438" s="113"/>
      <c r="B438" s="114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>
      <c r="A439" s="113"/>
      <c r="B439" s="114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>
      <c r="A440" s="113"/>
      <c r="B440" s="114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>
      <c r="A441" s="113"/>
      <c r="B441" s="114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>
      <c r="A442" s="113"/>
      <c r="B442" s="114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>
      <c r="A443" s="113"/>
      <c r="B443" s="114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>
      <c r="A444" s="113"/>
      <c r="B444" s="114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>
      <c r="A445" s="113"/>
      <c r="B445" s="114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>
      <c r="A446" s="113"/>
      <c r="B446" s="114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>
      <c r="A447" s="113"/>
      <c r="B447" s="114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>
      <c r="A448" s="113"/>
      <c r="B448" s="114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>
      <c r="A449" s="113"/>
      <c r="B449" s="114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>
      <c r="A450" s="113"/>
      <c r="B450" s="114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>
      <c r="A451" s="113"/>
      <c r="B451" s="114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>
      <c r="A452" s="113"/>
      <c r="B452" s="114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>
      <c r="A453" s="113"/>
      <c r="B453" s="114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>
      <c r="A454" s="113"/>
      <c r="B454" s="114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>
      <c r="A455" s="113"/>
      <c r="B455" s="114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>
      <c r="A456" s="113"/>
      <c r="B456" s="114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>
      <c r="A457" s="113"/>
      <c r="B457" s="114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>
      <c r="A458" s="113"/>
      <c r="B458" s="114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>
      <c r="A459" s="113"/>
      <c r="B459" s="114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>
      <c r="A460" s="113"/>
      <c r="B460" s="114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>
      <c r="A461" s="113"/>
      <c r="B461" s="114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>
      <c r="A462" s="113"/>
      <c r="B462" s="114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>
      <c r="A463" s="113"/>
      <c r="B463" s="114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>
      <c r="A464" s="113"/>
      <c r="B464" s="114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>
      <c r="A465" s="113"/>
      <c r="B465" s="114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>
      <c r="A466" s="113"/>
      <c r="B466" s="114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>
      <c r="A467" s="113"/>
      <c r="B467" s="114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>
      <c r="A468" s="113"/>
      <c r="B468" s="114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>
      <c r="A469" s="113"/>
      <c r="B469" s="114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>
      <c r="A470" s="113"/>
      <c r="B470" s="114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>
      <c r="A471" s="113"/>
      <c r="B471" s="114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>
      <c r="A472" s="113"/>
      <c r="B472" s="114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>
      <c r="A473" s="113"/>
      <c r="B473" s="114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>
      <c r="A474" s="113"/>
      <c r="B474" s="114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>
      <c r="A475" s="113"/>
      <c r="B475" s="114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>
      <c r="A476" s="113"/>
      <c r="B476" s="114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>
      <c r="A477" s="113"/>
      <c r="B477" s="114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>
      <c r="A478" s="113"/>
      <c r="B478" s="114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>
      <c r="A479" s="113"/>
      <c r="B479" s="114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>
      <c r="A480" s="113"/>
      <c r="B480" s="114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>
      <c r="A481" s="113"/>
      <c r="B481" s="114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>
      <c r="A482" s="113"/>
      <c r="B482" s="114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>
      <c r="A483" s="113"/>
      <c r="B483" s="114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>
      <c r="A484" s="113"/>
      <c r="B484" s="114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>
      <c r="A485" s="113"/>
      <c r="B485" s="114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>
      <c r="A486" s="113"/>
      <c r="B486" s="114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>
      <c r="A487" s="113"/>
      <c r="B487" s="114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>
      <c r="A488" s="113"/>
      <c r="B488" s="114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>
      <c r="A489" s="113"/>
      <c r="B489" s="114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>
      <c r="A490" s="113"/>
      <c r="B490" s="114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>
      <c r="A491" s="113"/>
      <c r="B491" s="114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>
      <c r="A492" s="113"/>
      <c r="B492" s="114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>
      <c r="A493" s="113"/>
      <c r="B493" s="114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>
      <c r="A494" s="113"/>
      <c r="B494" s="114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>
      <c r="A495" s="113"/>
      <c r="B495" s="114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>
      <c r="A496" s="113"/>
      <c r="B496" s="114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>
      <c r="A497" s="113"/>
      <c r="B497" s="114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>
      <c r="A498" s="113"/>
      <c r="B498" s="114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>
      <c r="A499" s="113"/>
      <c r="B499" s="114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>
      <c r="A500" s="113"/>
      <c r="B500" s="114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>
      <c r="A501" s="113"/>
      <c r="B501" s="114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>
      <c r="A502" s="113"/>
      <c r="B502" s="114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>
      <c r="A503" s="113"/>
      <c r="B503" s="114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>
      <c r="A504" s="113"/>
      <c r="B504" s="114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>
      <c r="A505" s="113"/>
      <c r="B505" s="114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>
      <c r="A506" s="113"/>
      <c r="B506" s="114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>
      <c r="A507" s="113"/>
      <c r="B507" s="114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>
      <c r="A508" s="113"/>
      <c r="B508" s="114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>
      <c r="A509" s="113"/>
      <c r="B509" s="114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>
      <c r="A510" s="113"/>
      <c r="B510" s="114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>
      <c r="A511" s="113"/>
      <c r="B511" s="114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>
      <c r="A512" s="113"/>
      <c r="B512" s="114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>
      <c r="A513" s="113"/>
      <c r="B513" s="114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>
      <c r="A514" s="113"/>
      <c r="B514" s="114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>
      <c r="A515" s="113"/>
      <c r="B515" s="114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>
      <c r="A516" s="113"/>
      <c r="B516" s="114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>
      <c r="A517" s="113"/>
      <c r="B517" s="114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>
      <c r="A518" s="113"/>
      <c r="B518" s="114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>
      <c r="A519" s="113"/>
      <c r="B519" s="114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>
      <c r="A520" s="113"/>
      <c r="B520" s="114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>
      <c r="A521" s="113"/>
      <c r="B521" s="114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>
      <c r="A522" s="113"/>
      <c r="B522" s="114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>
      <c r="A523" s="113"/>
      <c r="B523" s="114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>
      <c r="A524" s="113"/>
      <c r="B524" s="114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>
      <c r="A525" s="113"/>
      <c r="B525" s="114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>
      <c r="A526" s="113"/>
      <c r="B526" s="114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>
      <c r="A527" s="113"/>
      <c r="B527" s="114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>
      <c r="A528" s="113"/>
      <c r="B528" s="114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>
      <c r="A529" s="113"/>
      <c r="B529" s="114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>
      <c r="A530" s="113"/>
      <c r="B530" s="114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>
      <c r="A531" s="113"/>
      <c r="B531" s="114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>
      <c r="A532" s="113"/>
      <c r="B532" s="114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>
      <c r="A533" s="113"/>
      <c r="B533" s="114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>
      <c r="A534" s="113"/>
      <c r="B534" s="114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>
      <c r="A535" s="113"/>
      <c r="B535" s="114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>
      <c r="A536" s="113"/>
      <c r="B536" s="114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>
      <c r="A537" s="113"/>
      <c r="B537" s="114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>
      <c r="A538" s="113"/>
      <c r="B538" s="114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>
      <c r="A539" s="113"/>
      <c r="B539" s="114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>
      <c r="A540" s="113"/>
      <c r="B540" s="114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>
      <c r="A541" s="113"/>
      <c r="B541" s="114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>
      <c r="A542" s="113"/>
      <c r="B542" s="114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>
      <c r="A543" s="113"/>
      <c r="B543" s="114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>
      <c r="A544" s="113"/>
      <c r="B544" s="114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>
      <c r="A545" s="113"/>
      <c r="B545" s="114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>
      <c r="A546" s="113"/>
      <c r="B546" s="114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>
      <c r="A547" s="113"/>
      <c r="B547" s="114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>
      <c r="A548" s="113"/>
      <c r="B548" s="114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>
      <c r="A549" s="113"/>
      <c r="B549" s="114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>
      <c r="A550" s="113"/>
      <c r="B550" s="114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>
      <c r="A551" s="113"/>
      <c r="B551" s="114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>
      <c r="A552" s="113"/>
      <c r="B552" s="114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>
      <c r="A553" s="113"/>
      <c r="B553" s="114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>
      <c r="A554" s="113"/>
      <c r="B554" s="114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>
      <c r="A555" s="113"/>
      <c r="B555" s="114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>
      <c r="A556" s="113"/>
      <c r="B556" s="114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>
      <c r="A557" s="113"/>
      <c r="B557" s="114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>
      <c r="A558" s="113"/>
      <c r="B558" s="114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>
      <c r="A559" s="113"/>
      <c r="B559" s="114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>
      <c r="A560" s="113"/>
      <c r="B560" s="114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>
      <c r="A561" s="113"/>
      <c r="B561" s="114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>
      <c r="A562" s="113"/>
      <c r="B562" s="114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>
      <c r="A563" s="113"/>
      <c r="B563" s="114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>
      <c r="A564" s="113"/>
      <c r="B564" s="114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>
      <c r="A565" s="113"/>
      <c r="B565" s="114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>
      <c r="A566" s="113"/>
      <c r="B566" s="114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>
      <c r="A567" s="113"/>
      <c r="B567" s="114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>
      <c r="A568" s="113"/>
      <c r="B568" s="114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>
      <c r="A569" s="113"/>
      <c r="B569" s="114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>
      <c r="A570" s="113"/>
      <c r="B570" s="114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>
      <c r="A571" s="113"/>
      <c r="B571" s="114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>
      <c r="A572" s="113"/>
      <c r="B572" s="114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>
      <c r="A573" s="113"/>
      <c r="B573" s="114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>
      <c r="A574" s="113"/>
      <c r="B574" s="114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>
      <c r="A575" s="113"/>
      <c r="B575" s="114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>
      <c r="A576" s="113"/>
      <c r="B576" s="114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>
      <c r="A577" s="113"/>
      <c r="B577" s="114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>
      <c r="A578" s="113"/>
      <c r="B578" s="114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>
      <c r="A579" s="113"/>
      <c r="B579" s="114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>
      <c r="A580" s="113"/>
      <c r="B580" s="114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>
      <c r="A581" s="113"/>
      <c r="B581" s="114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>
      <c r="A582" s="113"/>
      <c r="B582" s="114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>
      <c r="A583" s="113"/>
      <c r="B583" s="114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>
      <c r="A584" s="113"/>
      <c r="B584" s="114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>
      <c r="A585" s="113"/>
      <c r="B585" s="114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>
      <c r="A586" s="113"/>
      <c r="B586" s="114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>
      <c r="A587" s="113"/>
      <c r="B587" s="114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>
      <c r="A588" s="113"/>
      <c r="B588" s="114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>
      <c r="A589" s="113"/>
      <c r="B589" s="114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>
      <c r="A590" s="113"/>
      <c r="B590" s="114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>
      <c r="A591" s="113"/>
      <c r="B591" s="114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>
      <c r="A592" s="113"/>
      <c r="B592" s="114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>
      <c r="A593" s="113"/>
      <c r="B593" s="114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>
      <c r="A594" s="113"/>
      <c r="B594" s="114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>
      <c r="A595" s="113"/>
      <c r="B595" s="114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>
      <c r="A596" s="113"/>
      <c r="B596" s="114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>
      <c r="A597" s="113"/>
      <c r="B597" s="114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>
      <c r="A598" s="113"/>
      <c r="B598" s="114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>
      <c r="A599" s="113"/>
      <c r="B599" s="114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>
      <c r="A600" s="113"/>
      <c r="B600" s="114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>
      <c r="A601" s="113"/>
      <c r="B601" s="114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>
      <c r="A602" s="113"/>
      <c r="B602" s="114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>
      <c r="A603" s="113"/>
      <c r="B603" s="114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>
      <c r="A604" s="113"/>
      <c r="B604" s="114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>
      <c r="A605" s="113"/>
      <c r="B605" s="114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>
      <c r="A606" s="113"/>
      <c r="B606" s="114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>
      <c r="A607" s="113"/>
      <c r="B607" s="114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>
      <c r="A608" s="113"/>
      <c r="B608" s="114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>
      <c r="A609" s="113"/>
      <c r="B609" s="114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>
      <c r="A610" s="113"/>
      <c r="B610" s="114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>
      <c r="A611" s="113"/>
      <c r="B611" s="114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>
      <c r="A612" s="113"/>
      <c r="B612" s="114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>
      <c r="A613" s="113"/>
      <c r="B613" s="114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>
      <c r="A614" s="113"/>
      <c r="B614" s="114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>
      <c r="A615" s="113"/>
      <c r="B615" s="114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>
      <c r="A616" s="113"/>
      <c r="B616" s="114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>
      <c r="A617" s="113"/>
      <c r="B617" s="114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>
      <c r="A618" s="113"/>
      <c r="B618" s="114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>
      <c r="A619" s="113"/>
      <c r="B619" s="114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>
      <c r="A620" s="113"/>
      <c r="B620" s="114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>
      <c r="A621" s="113"/>
      <c r="B621" s="114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>
      <c r="A622" s="113"/>
      <c r="B622" s="114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>
      <c r="A623" s="113"/>
      <c r="B623" s="114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>
      <c r="A624" s="113"/>
      <c r="B624" s="114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>
      <c r="A625" s="113"/>
      <c r="B625" s="114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>
      <c r="A626" s="113"/>
      <c r="B626" s="114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>
      <c r="A627" s="113"/>
      <c r="B627" s="114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>
      <c r="A628" s="113"/>
      <c r="B628" s="114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>
      <c r="A629" s="113"/>
      <c r="B629" s="114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>
      <c r="A630" s="113"/>
      <c r="B630" s="114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>
      <c r="A631" s="113"/>
      <c r="B631" s="114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>
      <c r="A632" s="113"/>
      <c r="B632" s="114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>
      <c r="A633" s="113"/>
      <c r="B633" s="114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>
      <c r="A634" s="113"/>
      <c r="B634" s="114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>
      <c r="A635" s="113"/>
      <c r="B635" s="114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>
      <c r="A636" s="113"/>
      <c r="B636" s="114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>
      <c r="A637" s="113"/>
      <c r="B637" s="114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>
      <c r="A638" s="113"/>
      <c r="B638" s="114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>
      <c r="A639" s="113"/>
      <c r="B639" s="114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>
      <c r="A640" s="113"/>
      <c r="B640" s="114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>
      <c r="A641" s="113"/>
      <c r="B641" s="114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>
      <c r="A642" s="113"/>
      <c r="B642" s="114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>
      <c r="A643" s="113"/>
      <c r="B643" s="114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>
      <c r="A644" s="113"/>
      <c r="B644" s="114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>
      <c r="A645" s="113"/>
      <c r="B645" s="114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>
      <c r="A646" s="113"/>
      <c r="B646" s="114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>
      <c r="A647" s="113"/>
      <c r="B647" s="114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>
      <c r="A648" s="113"/>
      <c r="B648" s="114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>
      <c r="A649" s="113"/>
      <c r="B649" s="114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>
      <c r="A650" s="113"/>
      <c r="B650" s="114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>
      <c r="A651" s="113"/>
      <c r="B651" s="114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>
      <c r="A652" s="113"/>
      <c r="B652" s="114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>
      <c r="A653" s="113"/>
      <c r="B653" s="114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>
      <c r="A654" s="113"/>
      <c r="B654" s="114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>
      <c r="A655" s="113"/>
      <c r="B655" s="114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>
      <c r="A656" s="113"/>
      <c r="B656" s="114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>
      <c r="A657" s="113"/>
      <c r="B657" s="114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>
      <c r="A658" s="113"/>
      <c r="B658" s="114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>
      <c r="A659" s="113"/>
      <c r="B659" s="114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>
      <c r="A660" s="113"/>
      <c r="B660" s="114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>
      <c r="A661" s="113"/>
      <c r="B661" s="114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>
      <c r="A662" s="113"/>
      <c r="B662" s="114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>
      <c r="A663" s="113"/>
      <c r="B663" s="114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>
      <c r="A664" s="113"/>
      <c r="B664" s="114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>
      <c r="A665" s="113"/>
      <c r="B665" s="114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>
      <c r="A666" s="113"/>
      <c r="B666" s="114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>
      <c r="A667" s="113"/>
      <c r="B667" s="114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>
      <c r="A668" s="113"/>
      <c r="B668" s="114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>
      <c r="A669" s="113"/>
      <c r="B669" s="114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>
      <c r="A670" s="113"/>
      <c r="B670" s="114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>
      <c r="A671" s="113"/>
      <c r="B671" s="114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>
      <c r="A672" s="113"/>
      <c r="B672" s="114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>
      <c r="A673" s="113"/>
      <c r="B673" s="114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>
      <c r="A674" s="113"/>
      <c r="B674" s="114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>
      <c r="A675" s="113"/>
      <c r="B675" s="114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>
      <c r="A676" s="113"/>
      <c r="B676" s="114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>
      <c r="A677" s="113"/>
      <c r="B677" s="114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>
      <c r="A678" s="113"/>
      <c r="B678" s="114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>
      <c r="A679" s="113"/>
      <c r="B679" s="114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>
      <c r="A680" s="113"/>
      <c r="B680" s="114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>
      <c r="A681" s="113"/>
      <c r="B681" s="114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>
      <c r="A682" s="113"/>
      <c r="B682" s="114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>
      <c r="A683" s="113"/>
      <c r="B683" s="114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>
      <c r="A684" s="113"/>
      <c r="B684" s="114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>
      <c r="A685" s="113"/>
      <c r="B685" s="114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>
      <c r="A686" s="113"/>
      <c r="B686" s="114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>
      <c r="A687" s="113"/>
      <c r="B687" s="114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>
      <c r="A688" s="113"/>
      <c r="B688" s="114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>
      <c r="A689" s="113"/>
      <c r="B689" s="114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>
      <c r="A690" s="113"/>
      <c r="B690" s="114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>
      <c r="A691" s="113"/>
      <c r="B691" s="114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>
      <c r="A692" s="113"/>
      <c r="B692" s="114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>
      <c r="A693" s="113"/>
      <c r="B693" s="114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>
      <c r="A694" s="113"/>
      <c r="B694" s="114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>
      <c r="A695" s="113"/>
      <c r="B695" s="114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>
      <c r="A696" s="113"/>
      <c r="B696" s="114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>
      <c r="A697" s="113"/>
      <c r="B697" s="114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>
      <c r="A698" s="113"/>
      <c r="B698" s="114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>
      <c r="A699" s="113"/>
      <c r="B699" s="114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>
      <c r="A700" s="113"/>
      <c r="B700" s="114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>
      <c r="A701" s="113"/>
      <c r="B701" s="114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>
      <c r="A702" s="113"/>
      <c r="B702" s="114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>
      <c r="A703" s="113"/>
      <c r="B703" s="114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>
      <c r="A704" s="113"/>
      <c r="B704" s="114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>
      <c r="A705" s="113"/>
      <c r="B705" s="114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>
      <c r="A706" s="113"/>
      <c r="B706" s="114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>
      <c r="A707" s="113"/>
      <c r="B707" s="114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>
      <c r="A708" s="113"/>
      <c r="B708" s="114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>
      <c r="A709" s="113"/>
      <c r="B709" s="114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>
      <c r="A710" s="113"/>
      <c r="B710" s="114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>
      <c r="A711" s="113"/>
      <c r="B711" s="114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>
      <c r="A712" s="113"/>
      <c r="B712" s="114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>
      <c r="A713" s="113"/>
      <c r="B713" s="114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>
      <c r="A714" s="113"/>
      <c r="B714" s="114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>
      <c r="A715" s="113"/>
      <c r="B715" s="114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>
      <c r="A716" s="113"/>
      <c r="B716" s="114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>
      <c r="A717" s="113"/>
      <c r="B717" s="114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>
      <c r="A718" s="113"/>
      <c r="B718" s="114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>
      <c r="A719" s="113"/>
      <c r="B719" s="114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>
      <c r="A720" s="113"/>
      <c r="B720" s="114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>
      <c r="A721" s="113"/>
      <c r="B721" s="114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>
      <c r="A722" s="113"/>
      <c r="B722" s="114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>
      <c r="A723" s="113"/>
      <c r="B723" s="114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>
      <c r="A724" s="113"/>
      <c r="B724" s="114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>
      <c r="A725" s="113"/>
      <c r="B725" s="114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>
      <c r="A726" s="113"/>
      <c r="B726" s="114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>
      <c r="A727" s="113"/>
      <c r="B727" s="114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>
      <c r="A728" s="113"/>
      <c r="B728" s="114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>
      <c r="A729" s="113"/>
      <c r="B729" s="114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>
      <c r="A730" s="113"/>
      <c r="B730" s="114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>
      <c r="A731" s="113"/>
      <c r="B731" s="114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>
      <c r="A732" s="113"/>
      <c r="B732" s="114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>
      <c r="A733" s="113"/>
      <c r="B733" s="114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>
      <c r="A734" s="113"/>
      <c r="B734" s="114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>
      <c r="A735" s="113"/>
      <c r="B735" s="114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>
      <c r="A736" s="113"/>
      <c r="B736" s="114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>
      <c r="A737" s="113"/>
      <c r="B737" s="114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>
      <c r="A738" s="113"/>
      <c r="B738" s="114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>
      <c r="A739" s="113"/>
      <c r="B739" s="114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>
      <c r="A740" s="113"/>
      <c r="B740" s="114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>
      <c r="A741" s="113"/>
      <c r="B741" s="114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>
      <c r="A742" s="113"/>
      <c r="B742" s="114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>
      <c r="A743" s="113"/>
      <c r="B743" s="114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>
      <c r="A744" s="113"/>
      <c r="B744" s="114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>
      <c r="A745" s="113"/>
      <c r="B745" s="114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>
      <c r="A746" s="113"/>
      <c r="B746" s="114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>
      <c r="A747" s="113"/>
      <c r="B747" s="114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>
      <c r="A748" s="113"/>
      <c r="B748" s="114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>
      <c r="A749" s="113"/>
      <c r="B749" s="114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>
      <c r="A750" s="113"/>
      <c r="B750" s="114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>
      <c r="A751" s="113"/>
      <c r="B751" s="114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>
      <c r="A752" s="113"/>
      <c r="B752" s="114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>
      <c r="A753" s="113"/>
      <c r="B753" s="114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>
      <c r="A754" s="113"/>
      <c r="B754" s="114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>
      <c r="A755" s="113"/>
      <c r="B755" s="114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>
      <c r="A756" s="113"/>
      <c r="B756" s="114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>
      <c r="A757" s="113"/>
      <c r="B757" s="114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>
      <c r="A758" s="113"/>
      <c r="B758" s="114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>
      <c r="A759" s="113"/>
      <c r="B759" s="114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>
      <c r="A760" s="113"/>
      <c r="B760" s="114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>
      <c r="A761" s="113"/>
      <c r="B761" s="114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>
      <c r="A762" s="113"/>
      <c r="B762" s="114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>
      <c r="A763" s="113"/>
      <c r="B763" s="114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>
      <c r="A764" s="113"/>
      <c r="B764" s="114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>
      <c r="A765" s="113"/>
      <c r="B765" s="114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>
      <c r="A766" s="113"/>
      <c r="B766" s="114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>
      <c r="A767" s="113"/>
      <c r="B767" s="114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>
      <c r="A768" s="113"/>
      <c r="B768" s="114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>
      <c r="A769" s="113"/>
      <c r="B769" s="114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>
      <c r="A770" s="113"/>
      <c r="B770" s="114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>
      <c r="A771" s="113"/>
      <c r="B771" s="114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>
      <c r="A772" s="113"/>
      <c r="B772" s="114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>
      <c r="A773" s="113"/>
      <c r="B773" s="114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>
      <c r="A774" s="113"/>
      <c r="B774" s="114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>
      <c r="A775" s="113"/>
      <c r="B775" s="114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>
      <c r="A776" s="113"/>
      <c r="B776" s="114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>
      <c r="A777" s="113"/>
      <c r="B777" s="114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>
      <c r="A778" s="113"/>
      <c r="B778" s="114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>
      <c r="A779" s="113"/>
      <c r="B779" s="114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>
      <c r="A780" s="113"/>
      <c r="B780" s="114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>
      <c r="A781" s="113"/>
      <c r="B781" s="114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>
      <c r="A782" s="113"/>
      <c r="B782" s="114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>
      <c r="A783" s="113"/>
      <c r="B783" s="114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>
      <c r="A784" s="113"/>
      <c r="B784" s="114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>
      <c r="A785" s="113"/>
      <c r="B785" s="114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>
      <c r="A786" s="113"/>
      <c r="B786" s="114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>
      <c r="A787" s="113"/>
      <c r="B787" s="114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>
      <c r="A788" s="113"/>
      <c r="B788" s="114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>
      <c r="A789" s="113"/>
      <c r="B789" s="114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>
      <c r="A790" s="113"/>
      <c r="B790" s="114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>
      <c r="A791" s="113"/>
      <c r="B791" s="114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>
      <c r="A792" s="113"/>
      <c r="B792" s="114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>
      <c r="A793" s="113"/>
      <c r="B793" s="114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>
      <c r="A794" s="113"/>
      <c r="B794" s="114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>
      <c r="A795" s="113"/>
      <c r="B795" s="114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>
      <c r="A796" s="113"/>
      <c r="B796" s="114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>
      <c r="A797" s="113"/>
      <c r="B797" s="114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>
      <c r="A798" s="113"/>
      <c r="B798" s="114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>
      <c r="A799" s="113"/>
      <c r="B799" s="114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>
      <c r="A800" s="113"/>
      <c r="B800" s="114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>
      <c r="A801" s="113"/>
      <c r="B801" s="114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>
      <c r="A802" s="113"/>
      <c r="B802" s="114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>
      <c r="A803" s="113"/>
      <c r="B803" s="114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>
      <c r="A804" s="113"/>
      <c r="B804" s="114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>
      <c r="A805" s="113"/>
      <c r="B805" s="114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>
      <c r="A806" s="113"/>
      <c r="B806" s="114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>
      <c r="A807" s="113"/>
      <c r="B807" s="114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>
      <c r="A808" s="113"/>
      <c r="B808" s="114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>
      <c r="A809" s="113"/>
      <c r="B809" s="114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>
      <c r="A810" s="113"/>
      <c r="B810" s="114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>
      <c r="A811" s="113"/>
      <c r="B811" s="114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>
      <c r="A812" s="113"/>
      <c r="B812" s="114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>
      <c r="A813" s="113"/>
      <c r="B813" s="114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>
      <c r="A814" s="113"/>
      <c r="B814" s="114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>
      <c r="A815" s="113"/>
      <c r="B815" s="114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>
      <c r="A816" s="113"/>
      <c r="B816" s="114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>
      <c r="A817" s="113"/>
      <c r="B817" s="114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>
      <c r="A818" s="113"/>
      <c r="B818" s="114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>
      <c r="A819" s="113"/>
      <c r="B819" s="114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>
      <c r="A820" s="113"/>
      <c r="B820" s="114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>
      <c r="A821" s="113"/>
      <c r="B821" s="114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>
      <c r="A822" s="113"/>
      <c r="B822" s="114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>
      <c r="A823" s="113"/>
      <c r="B823" s="114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>
      <c r="A824" s="113"/>
      <c r="B824" s="114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>
      <c r="A825" s="113"/>
      <c r="B825" s="114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>
      <c r="A826" s="113"/>
      <c r="B826" s="114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>
      <c r="A827" s="113"/>
      <c r="B827" s="114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>
      <c r="A828" s="113"/>
      <c r="B828" s="114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>
      <c r="A829" s="113"/>
      <c r="B829" s="114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>
      <c r="A830" s="113"/>
      <c r="B830" s="114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>
      <c r="A831" s="113"/>
      <c r="B831" s="114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>
      <c r="A832" s="113"/>
      <c r="B832" s="114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>
      <c r="A833" s="113"/>
      <c r="B833" s="114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>
      <c r="A834" s="113"/>
      <c r="B834" s="114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>
      <c r="A835" s="113"/>
      <c r="B835" s="114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>
      <c r="A836" s="113"/>
      <c r="B836" s="114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>
      <c r="A837" s="113"/>
      <c r="B837" s="114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>
      <c r="A838" s="113"/>
      <c r="B838" s="114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>
      <c r="A839" s="113"/>
      <c r="B839" s="114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>
      <c r="A840" s="113"/>
      <c r="B840" s="114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>
      <c r="A841" s="113"/>
      <c r="B841" s="114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>
      <c r="A842" s="113"/>
      <c r="B842" s="114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>
      <c r="A843" s="113"/>
      <c r="B843" s="114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>
      <c r="A844" s="113"/>
      <c r="B844" s="114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>
      <c r="A845" s="113"/>
      <c r="B845" s="114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>
      <c r="A846" s="113"/>
      <c r="B846" s="114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>
      <c r="A847" s="113"/>
      <c r="B847" s="114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>
      <c r="A848" s="113"/>
      <c r="B848" s="114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>
      <c r="A849" s="113"/>
      <c r="B849" s="114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>
      <c r="A850" s="113"/>
      <c r="B850" s="114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>
      <c r="A851" s="113"/>
      <c r="B851" s="114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>
      <c r="A852" s="113"/>
      <c r="B852" s="114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>
      <c r="A853" s="113"/>
      <c r="B853" s="114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>
      <c r="A854" s="113"/>
      <c r="B854" s="114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>
      <c r="A855" s="113"/>
      <c r="B855" s="114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>
      <c r="A856" s="113"/>
      <c r="B856" s="114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>
      <c r="A857" s="113"/>
      <c r="B857" s="114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>
      <c r="A858" s="113"/>
      <c r="B858" s="114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>
      <c r="A859" s="113"/>
      <c r="B859" s="114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>
      <c r="A860" s="113"/>
      <c r="B860" s="114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>
      <c r="A861" s="113"/>
      <c r="B861" s="114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>
      <c r="A862" s="113"/>
      <c r="B862" s="114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>
      <c r="A863" s="113"/>
      <c r="B863" s="114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>
      <c r="A864" s="113"/>
      <c r="B864" s="114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>
      <c r="A865" s="113"/>
      <c r="B865" s="114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>
      <c r="A866" s="113"/>
      <c r="B866" s="114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>
      <c r="A867" s="113"/>
      <c r="B867" s="114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>
      <c r="A868" s="113"/>
      <c r="B868" s="114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>
      <c r="A869" s="113"/>
      <c r="B869" s="114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>
      <c r="A870" s="113"/>
      <c r="B870" s="114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>
      <c r="A871" s="113"/>
      <c r="B871" s="114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>
      <c r="A872" s="113"/>
      <c r="B872" s="114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>
      <c r="A873" s="113"/>
      <c r="B873" s="114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>
      <c r="A874" s="113"/>
      <c r="B874" s="114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>
      <c r="A875" s="113"/>
      <c r="B875" s="114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>
      <c r="A876" s="113"/>
      <c r="B876" s="114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>
      <c r="A877" s="113"/>
      <c r="B877" s="114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>
      <c r="A878" s="113"/>
      <c r="B878" s="114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>
      <c r="A879" s="113"/>
      <c r="B879" s="114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>
      <c r="A880" s="113"/>
      <c r="B880" s="114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>
      <c r="A881" s="113"/>
      <c r="B881" s="114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>
      <c r="A882" s="113"/>
      <c r="B882" s="114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>
      <c r="A883" s="113"/>
      <c r="B883" s="114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>
      <c r="A884" s="113"/>
      <c r="B884" s="114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>
      <c r="A885" s="113"/>
      <c r="B885" s="114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>
      <c r="A886" s="113"/>
      <c r="B886" s="114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>
      <c r="A887" s="113"/>
      <c r="B887" s="114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>
      <c r="A888" s="113"/>
      <c r="B888" s="114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>
      <c r="A889" s="113"/>
      <c r="B889" s="114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>
      <c r="A890" s="113"/>
      <c r="B890" s="114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>
      <c r="A891" s="113"/>
      <c r="B891" s="114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>
      <c r="A892" s="113"/>
      <c r="B892" s="114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>
      <c r="A893" s="113"/>
      <c r="B893" s="114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>
      <c r="A894" s="113"/>
      <c r="B894" s="114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>
      <c r="A895" s="113"/>
      <c r="B895" s="114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>
      <c r="A896" s="113"/>
      <c r="B896" s="114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>
      <c r="A897" s="113"/>
      <c r="B897" s="114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>
      <c r="A898" s="113"/>
      <c r="B898" s="114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>
      <c r="A899" s="113"/>
      <c r="B899" s="114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>
      <c r="A900" s="113"/>
      <c r="B900" s="114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>
      <c r="A901" s="113"/>
      <c r="B901" s="114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>
      <c r="A902" s="113"/>
      <c r="B902" s="114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>
      <c r="A903" s="113"/>
      <c r="B903" s="114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>
      <c r="A904" s="113"/>
      <c r="B904" s="114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>
      <c r="A905" s="113"/>
      <c r="B905" s="114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>
      <c r="A906" s="113"/>
      <c r="B906" s="114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>
      <c r="A907" s="113"/>
      <c r="B907" s="114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>
      <c r="A908" s="113"/>
      <c r="B908" s="114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>
      <c r="A909" s="113"/>
      <c r="B909" s="114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>
      <c r="A910" s="113"/>
      <c r="B910" s="114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>
      <c r="A911" s="113"/>
      <c r="B911" s="114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>
      <c r="A912" s="113"/>
      <c r="B912" s="114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>
      <c r="A913" s="113"/>
      <c r="B913" s="114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>
      <c r="A914" s="113"/>
      <c r="B914" s="114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>
      <c r="A915" s="113"/>
      <c r="B915" s="114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>
      <c r="A916" s="113"/>
      <c r="B916" s="114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>
      <c r="A917" s="113"/>
      <c r="B917" s="114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>
      <c r="A918" s="113"/>
      <c r="B918" s="114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>
      <c r="A919" s="113"/>
      <c r="B919" s="114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>
      <c r="A920" s="113"/>
      <c r="B920" s="114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>
      <c r="A921" s="113"/>
      <c r="B921" s="114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>
      <c r="A922" s="113"/>
      <c r="B922" s="114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>
      <c r="A923" s="113"/>
      <c r="B923" s="114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>
      <c r="A924" s="113"/>
      <c r="B924" s="114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>
      <c r="A925" s="113"/>
      <c r="B925" s="114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>
      <c r="A926" s="113"/>
      <c r="B926" s="114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>
      <c r="A927" s="113"/>
      <c r="B927" s="114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>
      <c r="A928" s="113"/>
      <c r="B928" s="114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>
      <c r="A929" s="113"/>
      <c r="B929" s="114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>
      <c r="A930" s="113"/>
      <c r="B930" s="114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>
      <c r="A931" s="113"/>
      <c r="B931" s="114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>
      <c r="A932" s="113"/>
      <c r="B932" s="114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>
      <c r="A933" s="113"/>
      <c r="B933" s="114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>
      <c r="A934" s="113"/>
      <c r="B934" s="114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>
      <c r="A935" s="113"/>
      <c r="B935" s="114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>
      <c r="A936" s="113"/>
      <c r="B936" s="114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>
      <c r="A937" s="113"/>
      <c r="B937" s="114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>
      <c r="A938" s="113"/>
      <c r="B938" s="114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>
      <c r="A939" s="113"/>
      <c r="B939" s="114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>
      <c r="A940" s="113"/>
      <c r="B940" s="114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>
      <c r="A941" s="113"/>
      <c r="B941" s="114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>
      <c r="A942" s="113"/>
      <c r="B942" s="114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>
      <c r="A943" s="113"/>
      <c r="B943" s="114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>
      <c r="A944" s="113"/>
      <c r="B944" s="114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>
      <c r="A945" s="113"/>
      <c r="B945" s="114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>
      <c r="A946" s="113"/>
      <c r="B946" s="114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>
      <c r="A947" s="113"/>
      <c r="B947" s="114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>
      <c r="A948" s="113"/>
      <c r="B948" s="114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>
      <c r="A949" s="113"/>
      <c r="B949" s="114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>
      <c r="A950" s="113"/>
      <c r="B950" s="114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>
      <c r="A951" s="113"/>
      <c r="B951" s="114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>
      <c r="A952" s="113"/>
      <c r="B952" s="114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>
      <c r="A953" s="113"/>
      <c r="B953" s="114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>
      <c r="A954" s="113"/>
      <c r="B954" s="114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>
      <c r="A955" s="113"/>
      <c r="B955" s="114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>
      <c r="A956" s="113"/>
      <c r="B956" s="114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>
      <c r="A957" s="113"/>
      <c r="B957" s="114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>
      <c r="A958" s="113"/>
      <c r="B958" s="114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>
      <c r="A959" s="113"/>
      <c r="B959" s="114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>
      <c r="A960" s="113"/>
      <c r="B960" s="114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>
      <c r="A961" s="113"/>
      <c r="B961" s="114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>
      <c r="A962" s="113"/>
      <c r="B962" s="114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>
      <c r="A963" s="113"/>
      <c r="B963" s="114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>
      <c r="A964" s="113"/>
      <c r="B964" s="114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>
      <c r="A965" s="113"/>
      <c r="B965" s="114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>
      <c r="A966" s="113"/>
      <c r="B966" s="114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>
      <c r="A967" s="113"/>
      <c r="B967" s="114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>
      <c r="A968" s="113"/>
      <c r="B968" s="114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>
      <c r="A969" s="113"/>
      <c r="B969" s="114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>
      <c r="A970" s="113"/>
      <c r="B970" s="114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>
      <c r="A971" s="113"/>
      <c r="B971" s="114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>
      <c r="A972" s="113"/>
      <c r="B972" s="114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>
      <c r="A973" s="113"/>
      <c r="B973" s="114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>
      <c r="A974" s="113"/>
      <c r="B974" s="114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>
      <c r="A975" s="113"/>
      <c r="B975" s="114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>
      <c r="A976" s="113"/>
      <c r="B976" s="114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>
      <c r="A977" s="113"/>
      <c r="B977" s="114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>
      <c r="A978" s="113"/>
      <c r="B978" s="114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>
      <c r="A979" s="113"/>
      <c r="B979" s="114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>
      <c r="A980" s="113"/>
      <c r="B980" s="114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>
      <c r="A981" s="113"/>
      <c r="B981" s="114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>
      <c r="A982" s="113"/>
      <c r="B982" s="114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>
      <c r="A983" s="113"/>
      <c r="B983" s="114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>
      <c r="A984" s="113"/>
      <c r="B984" s="114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>
      <c r="A985" s="113"/>
      <c r="B985" s="114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>
      <c r="A986" s="113"/>
      <c r="B986" s="114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>
      <c r="A987" s="113"/>
      <c r="B987" s="114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>
      <c r="A988" s="113"/>
      <c r="B988" s="114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>
      <c r="A989" s="113"/>
      <c r="B989" s="114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>
      <c r="A990" s="113"/>
      <c r="B990" s="114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>
      <c r="A991" s="113"/>
      <c r="B991" s="114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>
      <c r="A992" s="113"/>
      <c r="B992" s="114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>
      <c r="A993" s="113"/>
      <c r="B993" s="114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>
      <c r="A994" s="113"/>
      <c r="B994" s="114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>
      <c r="A995" s="113"/>
      <c r="B995" s="114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>
      <c r="A996" s="113"/>
      <c r="B996" s="114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>
      <c r="A997" s="113"/>
      <c r="B997" s="114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>
      <c r="A998" s="113"/>
      <c r="B998" s="114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>
      <c r="A999" s="113"/>
      <c r="B999" s="114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>
      <c r="A1000" s="113"/>
      <c r="B1000" s="114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  <row r="1001">
      <c r="A1001" s="113"/>
      <c r="B1001" s="114"/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  <c r="Z1001" s="1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8.0"/>
    <col customWidth="1" min="3" max="4" width="19.25"/>
    <col customWidth="1" min="5" max="5" width="5.0"/>
    <col customWidth="1" min="6" max="6" width="19.25"/>
    <col customWidth="1" min="7" max="7" width="2.5"/>
    <col customWidth="1" min="8" max="8" width="19.25"/>
    <col customWidth="1" min="9" max="9" width="2.38"/>
    <col customWidth="1" min="10" max="25" width="19.25"/>
  </cols>
  <sheetData>
    <row r="1" ht="36.75" customHeight="1">
      <c r="A1" s="1"/>
      <c r="B1" s="120"/>
      <c r="C1" s="120"/>
      <c r="D1" s="120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6.75" customHeight="1">
      <c r="A2" s="1"/>
      <c r="B2" s="121" t="s">
        <v>107</v>
      </c>
      <c r="C2" s="122" t="s">
        <v>108</v>
      </c>
      <c r="D2" s="123" t="s">
        <v>96</v>
      </c>
      <c r="E2" s="1"/>
      <c r="F2" s="7" t="s">
        <v>109</v>
      </c>
      <c r="G2" s="2"/>
      <c r="H2" s="7" t="s">
        <v>110</v>
      </c>
      <c r="I2" s="2"/>
      <c r="J2" s="7" t="s">
        <v>111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6.75" customHeight="1">
      <c r="A3" s="1"/>
      <c r="B3" s="124" t="s">
        <v>112</v>
      </c>
      <c r="C3" s="125" t="s">
        <v>113</v>
      </c>
      <c r="D3" s="126">
        <f>INVESTMENT!P3</f>
        <v>252000</v>
      </c>
      <c r="E3" s="21"/>
      <c r="F3" s="22">
        <f>D6-LOANS!O3</f>
        <v>230991.3333</v>
      </c>
      <c r="G3" s="2"/>
      <c r="H3" s="22">
        <f>INVESTMENT!P3</f>
        <v>252000</v>
      </c>
      <c r="I3" s="2"/>
      <c r="J3" s="22">
        <f>D6-D3-D4</f>
        <v>60000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6.75" customHeight="1">
      <c r="A4" s="1"/>
      <c r="B4" s="124" t="s">
        <v>16</v>
      </c>
      <c r="C4" s="125" t="s">
        <v>113</v>
      </c>
      <c r="D4" s="126">
        <v>95000.0</v>
      </c>
      <c r="E4" s="2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6.75" customHeight="1">
      <c r="A5" s="1"/>
      <c r="B5" s="124" t="s">
        <v>114</v>
      </c>
      <c r="C5" s="125" t="s">
        <v>111</v>
      </c>
      <c r="D5" s="126">
        <f>YEARLY_SAVINGS_2025!H3</f>
        <v>60000</v>
      </c>
      <c r="E5" s="2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9.25" customHeight="1">
      <c r="A6" s="1"/>
      <c r="B6" s="127" t="s">
        <v>67</v>
      </c>
      <c r="C6" s="10"/>
      <c r="D6" s="128">
        <f>SUM(D3:D5)</f>
        <v>407000</v>
      </c>
      <c r="E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6.75" customHeight="1">
      <c r="A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3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6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6.75" customHeight="1">
      <c r="A11" s="2"/>
      <c r="B11" s="1"/>
      <c r="C11" s="1"/>
      <c r="D11" s="2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36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6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6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6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36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36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36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36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36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6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6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36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36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36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36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36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36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36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36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36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36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36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36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36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36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36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36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36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36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36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3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3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3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3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3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3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3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3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3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3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36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36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36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36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36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36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36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36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36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36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36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36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36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36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36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36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36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36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36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36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36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36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36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36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36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36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36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36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36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36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36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36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36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36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36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36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36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36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3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36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36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36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36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36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36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36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36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36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36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36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36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36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36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36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36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36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36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36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36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36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36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36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36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36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36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36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36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36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36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36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36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36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36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36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36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36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36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36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36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36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36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36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36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36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36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36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36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36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36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36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36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36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36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36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36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36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36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36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36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36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36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36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36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36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36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36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36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36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36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36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36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36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36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36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36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36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36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36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36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36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36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36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36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36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36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36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36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36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36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36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36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36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36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36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36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36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36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36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36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36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36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36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36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36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36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36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36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36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36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36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36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36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36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36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36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36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36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36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36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36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36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36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36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36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36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36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36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36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36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36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36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36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36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36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36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36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36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36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36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36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36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36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36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36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36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36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36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36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36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36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36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36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36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36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36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36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36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36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36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36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36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36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36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36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36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36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36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36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36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36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36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36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36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36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36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36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36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36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36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36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36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36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36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36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36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36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36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36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36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36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36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36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36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36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36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36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36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36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36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36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36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36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36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36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36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36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36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36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36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36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36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36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36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36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36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36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36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36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36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36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36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36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36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36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36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36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36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36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36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36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36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36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36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36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36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36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36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36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36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36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36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36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36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36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36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36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36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36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36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36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36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36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36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36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36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36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36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36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36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36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36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36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36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36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36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36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36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36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36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36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36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36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36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36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36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36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36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36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36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36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36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36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36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36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36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36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36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36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36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36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36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36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36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36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36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36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36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36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36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36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36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36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36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36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36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36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36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36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36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36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36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36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36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36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36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36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36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36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36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36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36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36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36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36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36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36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36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36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36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36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36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36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36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36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36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36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36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36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36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36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36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36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36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36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36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36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36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36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36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36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36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36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36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36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36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36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36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36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36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36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36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36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36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36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36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36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36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36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36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36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36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36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36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36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36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36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36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36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36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36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36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36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36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36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36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36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36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36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36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36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36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36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36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36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36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36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36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36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36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36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36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36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36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36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36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36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36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36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36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36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36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36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36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36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36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36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36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36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36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36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36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36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36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36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36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36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36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36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36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36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36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36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36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36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36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36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36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36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36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36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36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36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36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36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36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36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36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36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36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36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36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36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36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36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36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36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36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36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36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36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36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36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36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36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36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36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36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36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36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36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36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36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36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36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36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36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36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36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36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36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36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36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36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36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36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36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36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36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36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36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36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36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36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36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36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36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36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36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36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36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36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36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36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36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36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36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36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36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36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36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36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36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36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36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36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36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36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36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36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36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36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36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36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36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36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36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36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36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36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36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36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36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36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36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36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36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36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36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36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36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36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36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36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36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36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36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36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36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36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36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36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36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36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36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36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36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36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36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36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36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36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36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36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36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36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36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36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36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36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36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36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36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36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36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36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36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36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36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36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36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36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36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36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36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36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36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36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36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36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36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36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36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36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36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36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36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36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36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36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36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36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36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36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36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36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36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36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36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36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36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36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36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36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36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36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36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36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36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36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36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36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36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36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36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36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36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36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36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36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36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36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36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36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36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36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36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36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36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36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36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36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36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36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36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36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36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36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36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36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36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36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36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36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36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36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36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36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36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36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36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36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36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36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36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36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36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36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36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36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36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36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36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36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36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36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36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36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36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36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36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36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36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36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36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36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36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36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36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36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36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36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36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36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36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36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36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36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36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36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36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36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36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36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36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36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36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36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36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36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36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36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36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36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36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36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36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36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36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36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36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36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36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36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36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36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36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36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36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36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36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36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36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36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36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36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36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36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36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36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36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36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36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36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36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36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36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36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36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36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36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36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36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36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36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36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36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36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36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36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36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36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36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36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36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36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36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36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36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36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36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36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36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36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36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36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36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36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36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36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36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36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36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36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36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36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36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36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36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36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36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36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36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36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36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36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36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36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36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36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36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36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36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36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36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36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36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36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36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36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36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36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36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36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36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36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36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36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36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36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36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36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36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36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36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36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36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36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36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36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36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36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36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36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36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36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36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36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36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36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36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36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36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36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36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36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36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36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36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36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36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36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36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36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36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36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36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36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36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36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36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36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36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36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36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36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36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36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36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36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36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36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36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36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36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36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36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36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36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36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36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36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36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36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36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36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36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36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36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36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36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36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36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36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36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36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36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36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36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36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36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36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36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36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36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36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36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36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36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1">
    <mergeCell ref="B6:C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7" width="17.0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3.75" customHeight="1">
      <c r="A2" s="1"/>
      <c r="B2" s="129" t="s">
        <v>115</v>
      </c>
      <c r="C2" s="130" t="s">
        <v>116</v>
      </c>
      <c r="D2" s="130" t="s">
        <v>117</v>
      </c>
      <c r="E2" s="130" t="s">
        <v>118</v>
      </c>
      <c r="F2" s="131" t="s">
        <v>119</v>
      </c>
      <c r="G2" s="1"/>
      <c r="H2" s="7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4.5" customHeight="1">
      <c r="A3" s="1"/>
      <c r="B3" s="132" t="s">
        <v>23</v>
      </c>
      <c r="C3" s="29">
        <v>15000.0</v>
      </c>
      <c r="D3" s="29">
        <v>0.0</v>
      </c>
      <c r="E3" s="29">
        <v>0.0</v>
      </c>
      <c r="F3" s="133">
        <f t="shared" ref="F3:F5" si="1">SUM(C3:E3)</f>
        <v>15000</v>
      </c>
      <c r="G3" s="21"/>
      <c r="H3" s="22">
        <f>F7</f>
        <v>60000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34.5" customHeight="1">
      <c r="A4" s="1"/>
      <c r="B4" s="132" t="s">
        <v>24</v>
      </c>
      <c r="C4" s="29">
        <v>15000.0</v>
      </c>
      <c r="D4" s="29">
        <v>0.0</v>
      </c>
      <c r="E4" s="29">
        <v>0.0</v>
      </c>
      <c r="F4" s="133">
        <f t="shared" si="1"/>
        <v>15000</v>
      </c>
      <c r="G4" s="21"/>
      <c r="H4" s="2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4.5" customHeight="1">
      <c r="A5" s="1"/>
      <c r="B5" s="132" t="s">
        <v>25</v>
      </c>
      <c r="C5" s="29">
        <v>15000.0</v>
      </c>
      <c r="D5" s="29">
        <v>0.0</v>
      </c>
      <c r="E5" s="29">
        <v>0.0</v>
      </c>
      <c r="F5" s="133">
        <f t="shared" si="1"/>
        <v>15000</v>
      </c>
      <c r="G5" s="21"/>
      <c r="H5" s="129" t="s">
        <v>120</v>
      </c>
      <c r="I5" s="131" t="s">
        <v>121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9.25" customHeight="1">
      <c r="A6" s="1"/>
      <c r="B6" s="132" t="s">
        <v>26</v>
      </c>
      <c r="C6" s="29">
        <v>0.0</v>
      </c>
      <c r="D6" s="29">
        <v>0.0</v>
      </c>
      <c r="E6" s="29">
        <v>0.0</v>
      </c>
      <c r="F6" s="134">
        <v>15000.0</v>
      </c>
      <c r="G6" s="2"/>
      <c r="H6" s="135" t="s">
        <v>122</v>
      </c>
      <c r="I6" s="136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9.25" customHeight="1">
      <c r="A7" s="1"/>
      <c r="B7" s="127" t="s">
        <v>27</v>
      </c>
      <c r="C7" s="137">
        <f t="shared" ref="C7:F7" si="2">SUM(C3:C6)</f>
        <v>45000</v>
      </c>
      <c r="D7" s="137">
        <f t="shared" si="2"/>
        <v>0</v>
      </c>
      <c r="E7" s="137">
        <f t="shared" si="2"/>
        <v>0</v>
      </c>
      <c r="F7" s="128">
        <f t="shared" si="2"/>
        <v>60000</v>
      </c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9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9.25" customHeight="1">
      <c r="A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9.25" customHeight="1">
      <c r="A10" s="2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9.25" customHeight="1">
      <c r="A11" s="2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9.25" customHeight="1">
      <c r="A12" s="2"/>
      <c r="B12" s="1"/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9.25" customHeight="1">
      <c r="A13" s="2"/>
      <c r="B13" s="1"/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9.25" customHeight="1">
      <c r="A14" s="2"/>
      <c r="B14" s="1"/>
      <c r="C14" s="1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9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9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9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9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9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9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9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9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9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9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9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9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9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9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9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9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9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9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9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9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9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9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9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9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9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9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9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9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29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29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29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29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29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29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29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29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29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29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29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29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29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29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9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29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29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29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9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9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29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9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9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9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29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9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29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29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29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29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29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29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9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9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9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29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29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29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29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29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29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29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29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29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29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29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29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29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29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29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29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29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29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29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29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29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29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29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29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29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29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29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29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29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29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29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29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29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29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29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29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29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29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29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29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29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29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29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29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29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29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29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29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29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29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29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29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29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29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29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9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29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29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29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29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29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29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29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29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29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29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29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29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29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29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29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29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29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29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29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29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29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29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29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29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29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29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29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29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29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29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29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29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29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29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29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29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29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29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29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29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29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29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29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29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29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29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29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29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29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29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29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29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29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29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29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29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29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29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29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29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29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29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29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29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29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29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29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29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29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29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29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29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29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29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29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29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29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29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29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29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29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29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29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29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29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29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29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29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29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29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29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29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29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29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29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29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29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29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29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29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29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29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29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29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29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29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29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29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29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29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29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29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29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29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29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29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29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29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29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29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29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29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29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29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29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29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29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29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29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29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29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29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29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29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29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29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29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29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29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29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29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29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29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29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29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29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29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29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29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29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29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29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29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29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29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29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29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29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29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29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29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29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29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29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29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29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29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29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29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29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29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29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29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29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29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29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29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29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29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29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29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29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29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29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29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29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29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29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29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29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29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29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29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29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29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29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29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29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29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29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29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29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29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29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29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29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29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29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29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29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29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29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29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29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29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29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29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29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29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29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29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29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29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29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29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29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29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29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29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29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29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29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29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29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29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29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29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29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29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29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29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29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29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29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29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29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29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29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29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29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29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29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29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29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29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29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29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29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29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29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29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29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29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29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29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29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29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29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29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29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29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29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29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29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29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29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29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29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29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29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29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29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29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29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29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29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29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29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29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29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29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29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29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29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29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29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29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29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29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29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29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29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29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29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29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29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29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29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29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29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29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29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29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29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29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29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29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29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29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29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29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29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29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29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29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29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29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29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29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29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29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29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29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29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29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29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29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29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29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29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29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29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29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29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29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29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29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29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29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29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29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29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29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29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29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29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29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29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29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29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29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29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29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29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29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29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29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29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29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29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29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29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29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29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29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29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29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29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29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29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29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29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29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29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29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29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29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29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29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29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29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29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29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29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29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29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29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29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29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29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29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29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29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29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29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29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29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29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29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29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29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29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29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29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29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29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29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29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29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29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29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29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29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29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29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29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29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29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29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29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29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29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29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29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29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29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29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29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29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29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29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29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29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29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29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29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29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29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29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29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29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29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29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29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29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29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29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29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29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29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29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29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29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29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29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29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29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29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29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29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29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29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29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29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29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29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29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29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29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29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29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29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29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29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29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29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29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29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29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29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29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29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29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29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29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29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29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29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29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29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29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29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29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29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29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29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29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29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29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29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29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29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29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29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29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29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29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29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29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29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29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29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29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29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29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29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29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29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29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29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29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29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29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29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29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29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29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29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29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29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29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29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29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29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29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29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29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29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29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29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29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29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29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29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29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29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29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29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29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29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29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29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29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29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29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29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29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29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29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29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29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29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29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29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29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29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29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29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29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29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29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29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29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29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29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29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29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29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29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29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29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29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29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29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29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29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29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29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29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29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29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29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29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29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29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29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29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29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29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29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29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29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29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29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29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29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29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29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29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29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29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29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29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29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29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29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29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29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29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29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29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29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29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29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29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29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29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29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29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29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29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29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29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29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29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29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29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29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29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29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29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29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29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29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29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29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29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29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29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29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29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29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29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29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29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29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29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29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29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29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29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29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29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29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29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29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29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29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29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29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29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29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29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29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29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29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29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29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29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29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29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29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29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29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29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29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29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29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29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29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29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29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29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29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29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29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29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29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29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29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29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29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29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29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29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29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29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29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29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29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29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29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29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29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29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29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29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29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29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29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29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29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29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29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29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29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29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29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29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29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29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29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29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29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29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29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29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29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29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29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29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29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29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29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29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29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29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29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29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29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29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29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29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29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29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29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29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29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29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29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29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29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29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29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29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29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29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29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29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29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29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29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29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29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29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29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29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29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29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29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29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29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29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29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29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29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29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29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29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29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29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29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29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29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29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29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29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29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29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29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29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29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29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29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29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29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29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29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29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29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29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29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29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29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29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29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29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29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29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29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29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29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29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29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29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29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29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29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29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29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29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29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29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29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29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29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29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29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29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29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29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29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29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29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29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29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29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29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29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29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29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29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29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29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29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29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29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